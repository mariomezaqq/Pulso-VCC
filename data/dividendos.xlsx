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5321\Downloads\"/>
    </mc:Choice>
  </mc:AlternateContent>
  <xr:revisionPtr revIDLastSave="0" documentId="13_ncr:1_{BE696BB2-38FA-45D5-B599-07EE5947E696}" xr6:coauthVersionLast="47" xr6:coauthVersionMax="47" xr10:uidLastSave="{00000000-0000-0000-0000-000000000000}"/>
  <bookViews>
    <workbookView xWindow="-28920" yWindow="-3540" windowWidth="29040" windowHeight="15720" xr2:uid="{6BC00207-0122-4ECF-BDC2-471DDC86A34A}"/>
  </bookViews>
  <sheets>
    <sheet name="Plan VS Real Marcenado (2)" sheetId="3" r:id="rId1"/>
    <sheet name="Marcenado" sheetId="1" r:id="rId2"/>
    <sheet name="Planing desembolsos" sheetId="4" r:id="rId3"/>
  </sheets>
  <externalReferences>
    <externalReference r:id="rId4"/>
  </externalReferenc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3" i="3" l="1"/>
  <c r="E30" i="3"/>
  <c r="D28" i="3"/>
  <c r="C4" i="3"/>
  <c r="D4" i="3" s="1"/>
  <c r="E4" i="3" s="1"/>
  <c r="C5" i="3"/>
  <c r="D5" i="3"/>
  <c r="E5" i="3" s="1"/>
  <c r="C6" i="3"/>
  <c r="D6" i="3" s="1"/>
  <c r="C7" i="3"/>
  <c r="D7" i="3"/>
  <c r="C8" i="3"/>
  <c r="D8" i="3"/>
  <c r="B9" i="3"/>
  <c r="C9" i="3"/>
  <c r="D9" i="3"/>
  <c r="E9" i="3"/>
  <c r="D10" i="3"/>
  <c r="C11" i="3"/>
  <c r="D11" i="3"/>
  <c r="E11" i="3" s="1"/>
  <c r="C12" i="3"/>
  <c r="D12" i="3"/>
  <c r="E12" i="3"/>
  <c r="C13" i="3"/>
  <c r="B14" i="3"/>
  <c r="D15" i="3"/>
  <c r="D16" i="3"/>
  <c r="C17" i="3"/>
  <c r="D17" i="3"/>
  <c r="E17" i="3" s="1"/>
  <c r="C18" i="3"/>
  <c r="D18" i="3"/>
  <c r="E18" i="3" s="1"/>
  <c r="B20" i="3"/>
  <c r="C20" i="3"/>
  <c r="D20" i="3" s="1"/>
  <c r="E20" i="3" s="1"/>
  <c r="D21" i="3"/>
  <c r="B22" i="3"/>
  <c r="B25" i="3" s="1"/>
  <c r="D23" i="3"/>
  <c r="C24" i="3"/>
  <c r="D24" i="3"/>
  <c r="E24" i="3" s="1"/>
  <c r="D26" i="3"/>
  <c r="C27" i="3"/>
  <c r="C28" i="3"/>
  <c r="C29" i="3"/>
  <c r="C30" i="3"/>
  <c r="D30" i="3" s="1"/>
  <c r="D32" i="3"/>
  <c r="D33" i="3"/>
  <c r="E31" i="3" s="1"/>
  <c r="B34" i="3"/>
  <c r="C34" i="3"/>
  <c r="D34" i="3" s="1"/>
  <c r="E32" i="3" s="1"/>
  <c r="T145" i="1"/>
  <c r="T144" i="1"/>
  <c r="T143" i="1"/>
  <c r="T133" i="1"/>
  <c r="T132" i="1"/>
  <c r="T130" i="1"/>
  <c r="C128" i="1"/>
  <c r="M123" i="1"/>
  <c r="C120" i="1"/>
  <c r="N118" i="1"/>
  <c r="N117" i="1"/>
  <c r="M117" i="1"/>
  <c r="P114" i="1"/>
  <c r="C114" i="1"/>
  <c r="C116" i="1" s="1"/>
  <c r="F112" i="1"/>
  <c r="F113" i="1" s="1"/>
  <c r="M111" i="1"/>
  <c r="P111" i="1" s="1"/>
  <c r="K106" i="1"/>
  <c r="N101" i="1"/>
  <c r="N100" i="1"/>
  <c r="K96" i="1"/>
  <c r="J95" i="1"/>
  <c r="K94" i="1"/>
  <c r="J94" i="1"/>
  <c r="K93" i="1"/>
  <c r="J93" i="1"/>
  <c r="N92" i="1"/>
  <c r="N91" i="1"/>
  <c r="K86" i="1"/>
  <c r="K87" i="1" s="1"/>
  <c r="J87" i="1" s="1"/>
  <c r="W84" i="1"/>
  <c r="K84" i="1"/>
  <c r="K83" i="1"/>
  <c r="P81" i="1"/>
  <c r="O81" i="1"/>
  <c r="N81" i="1"/>
  <c r="M81" i="1"/>
  <c r="L81" i="1"/>
  <c r="E77" i="1"/>
  <c r="D77" i="1"/>
  <c r="K76" i="1"/>
  <c r="K77" i="1" s="1"/>
  <c r="J77" i="1" s="1"/>
  <c r="K74" i="1"/>
  <c r="K73" i="1"/>
  <c r="O72" i="1"/>
  <c r="M72" i="1"/>
  <c r="M92" i="1" s="1"/>
  <c r="M91" i="1" s="1"/>
  <c r="L72" i="1"/>
  <c r="L92" i="1" s="1"/>
  <c r="L91" i="1" s="1"/>
  <c r="O71" i="1"/>
  <c r="N71" i="1"/>
  <c r="M71" i="1"/>
  <c r="L71" i="1"/>
  <c r="D58" i="1"/>
  <c r="E58" i="1" s="1"/>
  <c r="D57" i="1"/>
  <c r="E56" i="1"/>
  <c r="E54" i="1"/>
  <c r="D53" i="1"/>
  <c r="D52" i="1"/>
  <c r="D46" i="1"/>
  <c r="D39" i="1"/>
  <c r="D38" i="1"/>
  <c r="C34" i="1"/>
  <c r="E33" i="1"/>
  <c r="E32" i="1"/>
  <c r="D31" i="1"/>
  <c r="E31" i="1" s="1"/>
  <c r="T29" i="1"/>
  <c r="U27" i="1"/>
  <c r="G27" i="1"/>
  <c r="T24" i="1"/>
  <c r="F22" i="1"/>
  <c r="M21" i="1"/>
  <c r="E21" i="1"/>
  <c r="P20" i="1"/>
  <c r="D18" i="1"/>
  <c r="D21" i="1" s="1"/>
  <c r="T16" i="1"/>
  <c r="T15" i="1"/>
  <c r="M10" i="1"/>
  <c r="V8" i="1"/>
  <c r="C3" i="1"/>
  <c r="D13" i="3" l="1"/>
  <c r="E13" i="3" s="1"/>
  <c r="C14" i="3"/>
  <c r="B31" i="3"/>
  <c r="B35" i="3"/>
  <c r="C122" i="1"/>
  <c r="P117" i="1"/>
  <c r="M115" i="1"/>
  <c r="O101" i="1"/>
  <c r="M101" i="1"/>
  <c r="J96" i="1"/>
  <c r="K97" i="1"/>
  <c r="J97" i="1" s="1"/>
  <c r="O92" i="1"/>
  <c r="O91" i="1" s="1"/>
  <c r="P72" i="1"/>
  <c r="F58" i="1"/>
  <c r="D125" i="1"/>
  <c r="F56" i="1"/>
  <c r="D127" i="1"/>
  <c r="D126" i="1"/>
  <c r="F54" i="1"/>
  <c r="E53" i="1"/>
  <c r="J74" i="1"/>
  <c r="J73" i="1"/>
  <c r="J86" i="1"/>
  <c r="J85" i="1"/>
  <c r="J84" i="1"/>
  <c r="J83" i="1"/>
  <c r="J76" i="1"/>
  <c r="J75" i="1"/>
  <c r="E34" i="1"/>
  <c r="K10" i="1"/>
  <c r="P21" i="1"/>
  <c r="P22" i="1" s="1"/>
  <c r="O22" i="1" s="1"/>
  <c r="C131" i="1"/>
  <c r="V59" i="1"/>
  <c r="V131" i="1"/>
  <c r="V128" i="1"/>
  <c r="V130" i="1"/>
  <c r="V9" i="1"/>
  <c r="V10" i="1" s="1"/>
  <c r="W8" i="1"/>
  <c r="C22" i="3" l="1"/>
  <c r="D14" i="3"/>
  <c r="E14" i="3" s="1"/>
  <c r="B39" i="3"/>
  <c r="B40" i="3"/>
  <c r="K17" i="1"/>
  <c r="K12" i="1"/>
  <c r="P115" i="1"/>
  <c r="F114" i="1"/>
  <c r="F115" i="1" s="1"/>
  <c r="P101" i="1"/>
  <c r="P100" i="1" s="1"/>
  <c r="O100" i="1"/>
  <c r="M100" i="1"/>
  <c r="L101" i="1"/>
  <c r="L100" i="1" s="1"/>
  <c r="P92" i="1"/>
  <c r="P91" i="1" s="1"/>
  <c r="P71" i="1"/>
  <c r="F53" i="1"/>
  <c r="D122" i="1"/>
  <c r="E52" i="1"/>
  <c r="E38" i="1"/>
  <c r="E39" i="1"/>
  <c r="E40" i="1"/>
  <c r="E73" i="1"/>
  <c r="E113" i="1"/>
  <c r="E35" i="1"/>
  <c r="E112" i="1"/>
  <c r="K128" i="1"/>
  <c r="O21" i="1"/>
  <c r="D131" i="1"/>
  <c r="O26" i="1"/>
  <c r="V60" i="1"/>
  <c r="W131" i="1"/>
  <c r="W132" i="1"/>
  <c r="X8" i="1"/>
  <c r="W130" i="1"/>
  <c r="W9" i="1"/>
  <c r="W10" i="1" s="1"/>
  <c r="W128" i="1"/>
  <c r="W150" i="1"/>
  <c r="W58" i="1" s="1"/>
  <c r="W64" i="1" s="1"/>
  <c r="D128" i="1"/>
  <c r="V15" i="1" l="1"/>
  <c r="E41" i="1"/>
  <c r="E114" i="1"/>
  <c r="C25" i="3"/>
  <c r="D22" i="3"/>
  <c r="E22" i="3" s="1"/>
  <c r="V132" i="1"/>
  <c r="V150" i="1"/>
  <c r="M116" i="1"/>
  <c r="P116" i="1" s="1"/>
  <c r="N10" i="1"/>
  <c r="M118" i="1"/>
  <c r="M120" i="1"/>
  <c r="D120" i="1"/>
  <c r="D119" i="1"/>
  <c r="D121" i="1"/>
  <c r="E55" i="1"/>
  <c r="F52" i="1"/>
  <c r="K129" i="1"/>
  <c r="C39" i="1"/>
  <c r="C136" i="1"/>
  <c r="D73" i="1"/>
  <c r="F36" i="1"/>
  <c r="E74" i="1"/>
  <c r="E115" i="1"/>
  <c r="E116" i="1" s="1"/>
  <c r="D112" i="1" s="1"/>
  <c r="K134" i="1"/>
  <c r="K130" i="1"/>
  <c r="W21" i="1"/>
  <c r="X128" i="1"/>
  <c r="Y8" i="1"/>
  <c r="X130" i="1"/>
  <c r="X150" i="1"/>
  <c r="X58" i="1" s="1"/>
  <c r="X64" i="1" s="1"/>
  <c r="X9" i="1"/>
  <c r="X10" i="1" s="1"/>
  <c r="X131" i="1"/>
  <c r="X132" i="1"/>
  <c r="X133" i="1"/>
  <c r="X24" i="1" s="1"/>
  <c r="W15" i="1"/>
  <c r="F37" i="1" l="1"/>
  <c r="C41" i="1"/>
  <c r="D41" i="1" s="1"/>
  <c r="F35" i="1"/>
  <c r="F32" i="1"/>
  <c r="F33" i="1"/>
  <c r="F40" i="1"/>
  <c r="F31" i="1"/>
  <c r="F34" i="1"/>
  <c r="F38" i="1"/>
  <c r="F39" i="1"/>
  <c r="C31" i="3"/>
  <c r="D31" i="3" s="1"/>
  <c r="D25" i="3"/>
  <c r="E25" i="3" s="1"/>
  <c r="C35" i="3"/>
  <c r="V21" i="1"/>
  <c r="V58" i="1"/>
  <c r="W133" i="1"/>
  <c r="W24" i="1" s="1"/>
  <c r="V133" i="1"/>
  <c r="P118" i="1"/>
  <c r="P120" i="1"/>
  <c r="E125" i="1"/>
  <c r="E119" i="1"/>
  <c r="E57" i="1"/>
  <c r="E59" i="1" s="1"/>
  <c r="E60" i="1" s="1"/>
  <c r="F55" i="1"/>
  <c r="C55" i="1"/>
  <c r="D55" i="1" s="1"/>
  <c r="D136" i="1"/>
  <c r="C138" i="1"/>
  <c r="D74" i="1"/>
  <c r="D114" i="1"/>
  <c r="D113" i="1"/>
  <c r="Y9" i="1"/>
  <c r="Y10" i="1" s="1"/>
  <c r="Y128" i="1"/>
  <c r="Y130" i="1"/>
  <c r="Y150" i="1"/>
  <c r="Z8" i="1"/>
  <c r="Y131" i="1"/>
  <c r="Y132" i="1"/>
  <c r="Y133" i="1"/>
  <c r="Y24" i="1" s="1"/>
  <c r="Y135" i="1"/>
  <c r="Y138" i="1"/>
  <c r="Y143" i="1"/>
  <c r="Y144" i="1"/>
  <c r="X21" i="1"/>
  <c r="D115" i="1"/>
  <c r="X15" i="1"/>
  <c r="F41" i="1" l="1"/>
  <c r="C40" i="3"/>
  <c r="D40" i="3" s="1"/>
  <c r="C39" i="3"/>
  <c r="D39" i="3" s="1"/>
  <c r="D35" i="3"/>
  <c r="V64" i="1"/>
  <c r="V24" i="1"/>
  <c r="X144" i="1"/>
  <c r="M121" i="1"/>
  <c r="P121" i="1" s="1"/>
  <c r="Z145" i="1" s="1"/>
  <c r="E126" i="1"/>
  <c r="Y136" i="1" s="1"/>
  <c r="E120" i="1"/>
  <c r="X136" i="1"/>
  <c r="X135" i="1"/>
  <c r="W135" i="1"/>
  <c r="W136" i="1"/>
  <c r="V135" i="1"/>
  <c r="V136" i="1"/>
  <c r="X139" i="1"/>
  <c r="X138" i="1"/>
  <c r="W138" i="1"/>
  <c r="W139" i="1"/>
  <c r="V139" i="1"/>
  <c r="V138" i="1"/>
  <c r="F57" i="1"/>
  <c r="F59" i="1"/>
  <c r="C59" i="1"/>
  <c r="F60" i="1"/>
  <c r="E76" i="1"/>
  <c r="C60" i="1"/>
  <c r="D60" i="1" s="1"/>
  <c r="D138" i="1"/>
  <c r="Y15" i="1"/>
  <c r="Z9" i="1"/>
  <c r="Z10" i="1" s="1"/>
  <c r="Z131" i="1"/>
  <c r="Z132" i="1"/>
  <c r="Z133" i="1"/>
  <c r="Z29" i="1"/>
  <c r="Z130" i="1"/>
  <c r="Z143" i="1"/>
  <c r="Z144" i="1"/>
  <c r="AA8" i="1"/>
  <c r="Z128" i="1"/>
  <c r="Z135" i="1"/>
  <c r="Z136" i="1"/>
  <c r="Z138" i="1"/>
  <c r="Z150" i="1"/>
  <c r="Z58" i="1" s="1"/>
  <c r="Y21" i="1"/>
  <c r="D116" i="1"/>
  <c r="X143" i="1"/>
  <c r="V143" i="1"/>
  <c r="W143" i="1"/>
  <c r="W144" i="1"/>
  <c r="V144" i="1"/>
  <c r="Y58" i="1"/>
  <c r="Y64" i="1" s="1"/>
  <c r="Y29" i="1" l="1"/>
  <c r="Y145" i="1"/>
  <c r="X29" i="1"/>
  <c r="X145" i="1"/>
  <c r="W145" i="1"/>
  <c r="W29" i="1"/>
  <c r="V145" i="1"/>
  <c r="V29" i="1"/>
  <c r="M122" i="1"/>
  <c r="E127" i="1"/>
  <c r="M119" i="1"/>
  <c r="E121" i="1"/>
  <c r="C137" i="1"/>
  <c r="D76" i="1"/>
  <c r="Z21" i="1"/>
  <c r="AA9" i="1"/>
  <c r="AA10" i="1" s="1"/>
  <c r="AA29" i="1"/>
  <c r="AA130" i="1"/>
  <c r="AA135" i="1"/>
  <c r="AA136" i="1"/>
  <c r="AA140" i="1"/>
  <c r="AA145" i="1"/>
  <c r="AA150" i="1"/>
  <c r="AA131" i="1"/>
  <c r="AA132" i="1"/>
  <c r="AA133" i="1"/>
  <c r="AA24" i="1" s="1"/>
  <c r="AB8" i="1"/>
  <c r="AA128" i="1"/>
  <c r="AA137" i="1"/>
  <c r="AA138" i="1"/>
  <c r="AA139" i="1"/>
  <c r="AA143" i="1"/>
  <c r="AA144" i="1"/>
  <c r="Y139" i="1"/>
  <c r="Z139" i="1"/>
  <c r="Z24" i="1"/>
  <c r="Z15" i="1"/>
  <c r="Z64" i="1"/>
  <c r="P122" i="1" l="1"/>
  <c r="Z137" i="1"/>
  <c r="Y137" i="1"/>
  <c r="X137" i="1"/>
  <c r="W137" i="1"/>
  <c r="V137" i="1"/>
  <c r="P119" i="1"/>
  <c r="Z140" i="1"/>
  <c r="Y140" i="1"/>
  <c r="X140" i="1"/>
  <c r="W140" i="1"/>
  <c r="V140" i="1"/>
  <c r="D137" i="1"/>
  <c r="AA58" i="1"/>
  <c r="AA21" i="1"/>
  <c r="AB9" i="1"/>
  <c r="AB10" i="1" s="1"/>
  <c r="AB135" i="1"/>
  <c r="AB136" i="1"/>
  <c r="AB140" i="1"/>
  <c r="AB143" i="1"/>
  <c r="AB144" i="1"/>
  <c r="AB128" i="1"/>
  <c r="AB130" i="1"/>
  <c r="AB137" i="1"/>
  <c r="AB138" i="1"/>
  <c r="AB139" i="1"/>
  <c r="AB145" i="1"/>
  <c r="AB150" i="1"/>
  <c r="AC8" i="1"/>
  <c r="AB29" i="1"/>
  <c r="AB131" i="1"/>
  <c r="AB132" i="1"/>
  <c r="AB133" i="1"/>
  <c r="AB134" i="1"/>
  <c r="AA15" i="1"/>
  <c r="AB154" i="1" l="1"/>
  <c r="AB146" i="1"/>
  <c r="AB39" i="1" s="1"/>
  <c r="AB147" i="1"/>
  <c r="AB155" i="1"/>
  <c r="AA154" i="1"/>
  <c r="AA147" i="1"/>
  <c r="AA146" i="1"/>
  <c r="AA39" i="1" s="1"/>
  <c r="AA155" i="1"/>
  <c r="Z155" i="1"/>
  <c r="Z154" i="1"/>
  <c r="Z147" i="1"/>
  <c r="Y155" i="1"/>
  <c r="Y154" i="1"/>
  <c r="Y147" i="1"/>
  <c r="X154" i="1"/>
  <c r="X155" i="1"/>
  <c r="X147" i="1"/>
  <c r="V154" i="1"/>
  <c r="W154" i="1"/>
  <c r="W147" i="1"/>
  <c r="W155" i="1"/>
  <c r="V155" i="1"/>
  <c r="V147" i="1"/>
  <c r="P123" i="1"/>
  <c r="AC141" i="1" s="1"/>
  <c r="AC38" i="1" s="1"/>
  <c r="P10" i="1"/>
  <c r="AA64" i="1"/>
  <c r="AB15" i="1"/>
  <c r="AB47" i="1"/>
  <c r="AB19" i="1"/>
  <c r="AB20" i="1"/>
  <c r="AC131" i="1"/>
  <c r="AC132" i="1"/>
  <c r="AC133" i="1"/>
  <c r="AC134" i="1"/>
  <c r="AC29" i="1"/>
  <c r="AC138" i="1"/>
  <c r="AC143" i="1"/>
  <c r="AC144" i="1"/>
  <c r="AD8" i="1"/>
  <c r="AC9" i="1"/>
  <c r="AC10" i="1" s="1"/>
  <c r="AC128" i="1"/>
  <c r="AC130" i="1"/>
  <c r="AC135" i="1"/>
  <c r="AC136" i="1"/>
  <c r="AC137" i="1"/>
  <c r="AC139" i="1"/>
  <c r="AC140" i="1"/>
  <c r="AC145" i="1"/>
  <c r="AC146" i="1"/>
  <c r="AC39" i="1" s="1"/>
  <c r="AC147" i="1"/>
  <c r="AC150" i="1"/>
  <c r="AC58" i="1" s="1"/>
  <c r="AC64" i="1" s="1"/>
  <c r="AC154" i="1"/>
  <c r="AC155" i="1"/>
  <c r="AB21" i="1"/>
  <c r="AB24" i="1"/>
  <c r="Z146" i="1"/>
  <c r="Z39" i="1" s="1"/>
  <c r="Y146" i="1"/>
  <c r="Y39" i="1" s="1"/>
  <c r="X146" i="1"/>
  <c r="X39" i="1" s="1"/>
  <c r="W146" i="1"/>
  <c r="W39" i="1" s="1"/>
  <c r="V146" i="1"/>
  <c r="AA134" i="1"/>
  <c r="W134" i="1"/>
  <c r="X134" i="1"/>
  <c r="Z134" i="1"/>
  <c r="Y134" i="1"/>
  <c r="V134" i="1"/>
  <c r="AB58" i="1"/>
  <c r="AB64" i="1" s="1"/>
  <c r="AC40" i="1" l="1"/>
  <c r="AA20" i="1"/>
  <c r="AA19" i="1"/>
  <c r="AA22" i="1" s="1"/>
  <c r="AA47" i="1"/>
  <c r="Z20" i="1"/>
  <c r="Z19" i="1"/>
  <c r="Z47" i="1"/>
  <c r="Y20" i="1"/>
  <c r="Y19" i="1"/>
  <c r="Y47" i="1"/>
  <c r="X19" i="1"/>
  <c r="X20" i="1"/>
  <c r="X47" i="1"/>
  <c r="V20" i="1"/>
  <c r="V19" i="1"/>
  <c r="W20" i="1"/>
  <c r="W19" i="1"/>
  <c r="W22" i="1" s="1"/>
  <c r="W47" i="1"/>
  <c r="V47" i="1"/>
  <c r="AB141" i="1"/>
  <c r="AB38" i="1" s="1"/>
  <c r="AB40" i="1" s="1"/>
  <c r="AA141" i="1"/>
  <c r="AA38" i="1" s="1"/>
  <c r="AA40" i="1" s="1"/>
  <c r="Z141" i="1"/>
  <c r="Z38" i="1" s="1"/>
  <c r="Z40" i="1" s="1"/>
  <c r="Y141" i="1"/>
  <c r="Y38" i="1" s="1"/>
  <c r="Y40" i="1" s="1"/>
  <c r="X141" i="1"/>
  <c r="X38" i="1" s="1"/>
  <c r="X40" i="1" s="1"/>
  <c r="W141" i="1"/>
  <c r="W38" i="1" s="1"/>
  <c r="W40" i="1" s="1"/>
  <c r="V141" i="1"/>
  <c r="AB153" i="1"/>
  <c r="AB151" i="1"/>
  <c r="AB152" i="1"/>
  <c r="AA152" i="1"/>
  <c r="AA151" i="1"/>
  <c r="AA153" i="1"/>
  <c r="Z153" i="1"/>
  <c r="Z152" i="1"/>
  <c r="Z151" i="1"/>
  <c r="Y153" i="1"/>
  <c r="Y152" i="1"/>
  <c r="Y151" i="1"/>
  <c r="V152" i="1"/>
  <c r="W152" i="1"/>
  <c r="X153" i="1"/>
  <c r="X152" i="1"/>
  <c r="X151" i="1"/>
  <c r="W153" i="1"/>
  <c r="W151" i="1"/>
  <c r="V153" i="1"/>
  <c r="V151" i="1"/>
  <c r="O10" i="1"/>
  <c r="AB48" i="1"/>
  <c r="AC21" i="1"/>
  <c r="AD29" i="1"/>
  <c r="AD140" i="1"/>
  <c r="AD145" i="1"/>
  <c r="AD146" i="1"/>
  <c r="AD39" i="1" s="1"/>
  <c r="AD147" i="1"/>
  <c r="AD150" i="1"/>
  <c r="AD151" i="1"/>
  <c r="AD152" i="1"/>
  <c r="AD153" i="1"/>
  <c r="AD154" i="1"/>
  <c r="AD155" i="1"/>
  <c r="AE8" i="1"/>
  <c r="AD131" i="1"/>
  <c r="AD132" i="1"/>
  <c r="AD133" i="1"/>
  <c r="AD24" i="1" s="1"/>
  <c r="AD134" i="1"/>
  <c r="AD9" i="1"/>
  <c r="AD10" i="1" s="1"/>
  <c r="AD128" i="1"/>
  <c r="AD130" i="1"/>
  <c r="AD15" i="1" s="1"/>
  <c r="AD135" i="1"/>
  <c r="AD136" i="1"/>
  <c r="AD137" i="1"/>
  <c r="AD138" i="1"/>
  <c r="AD139" i="1"/>
  <c r="AD141" i="1"/>
  <c r="AD38" i="1" s="1"/>
  <c r="AD143" i="1"/>
  <c r="AD144" i="1"/>
  <c r="AC47" i="1"/>
  <c r="AC20" i="1"/>
  <c r="AC19" i="1"/>
  <c r="AC22" i="1" s="1"/>
  <c r="V39" i="1"/>
  <c r="AB22" i="1"/>
  <c r="AC151" i="1"/>
  <c r="AC152" i="1"/>
  <c r="AC153" i="1"/>
  <c r="AC24" i="1"/>
  <c r="AC15" i="1"/>
  <c r="Y22" i="1" l="1"/>
  <c r="X22" i="1"/>
  <c r="AD40" i="1"/>
  <c r="Z22" i="1"/>
  <c r="AA48" i="1"/>
  <c r="Z48" i="1"/>
  <c r="Y48" i="1"/>
  <c r="X48" i="1"/>
  <c r="V22" i="1"/>
  <c r="W48" i="1"/>
  <c r="V48" i="1"/>
  <c r="V38" i="1"/>
  <c r="K14" i="1"/>
  <c r="P26" i="1"/>
  <c r="AD49" i="1" s="1"/>
  <c r="J11" i="1"/>
  <c r="AD47" i="1"/>
  <c r="AD58" i="1"/>
  <c r="AD20" i="1"/>
  <c r="AD19" i="1"/>
  <c r="AE9" i="1"/>
  <c r="AE10" i="1" s="1"/>
  <c r="AE131" i="1"/>
  <c r="AE132" i="1"/>
  <c r="AE133" i="1"/>
  <c r="AE134" i="1"/>
  <c r="AF8" i="1"/>
  <c r="AE138" i="1"/>
  <c r="AE140" i="1"/>
  <c r="AE141" i="1"/>
  <c r="AE143" i="1"/>
  <c r="AE144" i="1"/>
  <c r="AE29" i="1"/>
  <c r="AE128" i="1"/>
  <c r="AE130" i="1"/>
  <c r="AE135" i="1"/>
  <c r="AE136" i="1"/>
  <c r="AE137" i="1"/>
  <c r="AE139" i="1"/>
  <c r="AE145" i="1"/>
  <c r="AE146" i="1"/>
  <c r="AE147" i="1"/>
  <c r="AE150" i="1"/>
  <c r="AE58" i="1" s="1"/>
  <c r="AE64" i="1" s="1"/>
  <c r="AE151" i="1"/>
  <c r="AE152" i="1"/>
  <c r="AE153" i="1"/>
  <c r="AE154" i="1"/>
  <c r="AE155" i="1"/>
  <c r="AD21" i="1"/>
  <c r="AC48" i="1"/>
  <c r="V40" i="1" l="1"/>
  <c r="W49" i="1"/>
  <c r="W50" i="1" s="1"/>
  <c r="X49" i="1"/>
  <c r="X50" i="1" s="1"/>
  <c r="Y49" i="1"/>
  <c r="Y50" i="1" s="1"/>
  <c r="Z49" i="1"/>
  <c r="Z50" i="1" s="1"/>
  <c r="AA49" i="1"/>
  <c r="AA50" i="1" s="1"/>
  <c r="AC49" i="1"/>
  <c r="AC50" i="1" s="1"/>
  <c r="V49" i="1"/>
  <c r="AB49" i="1"/>
  <c r="AB50" i="1" s="1"/>
  <c r="C132" i="1"/>
  <c r="AD48" i="1"/>
  <c r="AD50" i="1" s="1"/>
  <c r="AD64" i="1"/>
  <c r="AE21" i="1"/>
  <c r="AE24" i="1"/>
  <c r="AF29" i="1"/>
  <c r="AF128" i="1"/>
  <c r="AF135" i="1"/>
  <c r="AF138" i="1"/>
  <c r="AF141" i="1"/>
  <c r="AF38" i="1" s="1"/>
  <c r="AF143" i="1"/>
  <c r="AF144" i="1"/>
  <c r="AG8" i="1"/>
  <c r="AF9" i="1"/>
  <c r="AF10" i="1" s="1"/>
  <c r="AF130" i="1"/>
  <c r="AF136" i="1"/>
  <c r="AF137" i="1"/>
  <c r="AF139" i="1"/>
  <c r="AF140" i="1"/>
  <c r="AF145" i="1"/>
  <c r="AF146" i="1"/>
  <c r="AF39" i="1" s="1"/>
  <c r="AF147" i="1"/>
  <c r="AF150" i="1"/>
  <c r="AF151" i="1"/>
  <c r="AF152" i="1"/>
  <c r="AF153" i="1"/>
  <c r="AF154" i="1"/>
  <c r="AF155" i="1"/>
  <c r="AF131" i="1"/>
  <c r="AF132" i="1"/>
  <c r="AF133" i="1"/>
  <c r="AF24" i="1" s="1"/>
  <c r="AF134" i="1"/>
  <c r="AE15" i="1"/>
  <c r="AE39" i="1"/>
  <c r="AE47" i="1"/>
  <c r="AE49" i="1"/>
  <c r="AE19" i="1"/>
  <c r="AE20" i="1"/>
  <c r="K13" i="1"/>
  <c r="V61" i="1"/>
  <c r="AD22" i="1"/>
  <c r="AE38" i="1"/>
  <c r="V50" i="1" l="1"/>
  <c r="D132" i="1"/>
  <c r="C133" i="1"/>
  <c r="AG29" i="1"/>
  <c r="AG128" i="1"/>
  <c r="AG130" i="1"/>
  <c r="AG140" i="1"/>
  <c r="AG145" i="1"/>
  <c r="AG146" i="1"/>
  <c r="AG147" i="1"/>
  <c r="AG150" i="1"/>
  <c r="AG58" i="1" s="1"/>
  <c r="AG64" i="1" s="1"/>
  <c r="AG151" i="1"/>
  <c r="AG152" i="1"/>
  <c r="AG153" i="1"/>
  <c r="AG154" i="1"/>
  <c r="AG155" i="1"/>
  <c r="AH8" i="1"/>
  <c r="AG9" i="1"/>
  <c r="AG10" i="1" s="1"/>
  <c r="AG131" i="1"/>
  <c r="AG132" i="1"/>
  <c r="AG133" i="1"/>
  <c r="AG134" i="1"/>
  <c r="AG135" i="1"/>
  <c r="AG136" i="1"/>
  <c r="AG137" i="1"/>
  <c r="AG138" i="1"/>
  <c r="AG139" i="1"/>
  <c r="AG141" i="1"/>
  <c r="AG143" i="1"/>
  <c r="AG144" i="1"/>
  <c r="AF49" i="1"/>
  <c r="AF47" i="1"/>
  <c r="AF58" i="1"/>
  <c r="AF19" i="1"/>
  <c r="AF20" i="1"/>
  <c r="AF21" i="1"/>
  <c r="AE40" i="1"/>
  <c r="AE48" i="1"/>
  <c r="AE50" i="1" s="1"/>
  <c r="V62" i="1"/>
  <c r="W57" i="1" s="1"/>
  <c r="AE22" i="1"/>
  <c r="AF40" i="1"/>
  <c r="AF15" i="1"/>
  <c r="D133" i="1" l="1"/>
  <c r="AG39" i="1"/>
  <c r="AG47" i="1"/>
  <c r="AG49" i="1"/>
  <c r="AG19" i="1"/>
  <c r="AG20" i="1"/>
  <c r="AH29" i="1"/>
  <c r="AH131" i="1"/>
  <c r="AH132" i="1"/>
  <c r="AH133" i="1"/>
  <c r="AH24" i="1" s="1"/>
  <c r="AH134" i="1"/>
  <c r="AH128" i="1"/>
  <c r="AH130" i="1"/>
  <c r="AH135" i="1"/>
  <c r="AH138" i="1"/>
  <c r="AH141" i="1"/>
  <c r="AH38" i="1" s="1"/>
  <c r="AH143" i="1"/>
  <c r="AH144" i="1"/>
  <c r="AI8" i="1"/>
  <c r="AH9" i="1"/>
  <c r="AH10" i="1" s="1"/>
  <c r="AH136" i="1"/>
  <c r="AH137" i="1"/>
  <c r="AH139" i="1"/>
  <c r="AH140" i="1"/>
  <c r="AH145" i="1"/>
  <c r="AH146" i="1"/>
  <c r="AH147" i="1"/>
  <c r="AH150" i="1"/>
  <c r="AH151" i="1"/>
  <c r="AH152" i="1"/>
  <c r="AH153" i="1"/>
  <c r="AH154" i="1"/>
  <c r="AH155" i="1"/>
  <c r="AG21" i="1"/>
  <c r="AG24" i="1"/>
  <c r="AG38" i="1"/>
  <c r="AF48" i="1"/>
  <c r="AF50" i="1" s="1"/>
  <c r="AF64" i="1"/>
  <c r="AF22" i="1"/>
  <c r="W59" i="1"/>
  <c r="AG15" i="1"/>
  <c r="AG48" i="1" l="1"/>
  <c r="AG50" i="1" s="1"/>
  <c r="AH21" i="1"/>
  <c r="AH15" i="1"/>
  <c r="AI128" i="1"/>
  <c r="AI130" i="1"/>
  <c r="AI136" i="1"/>
  <c r="AI139" i="1"/>
  <c r="AI145" i="1"/>
  <c r="AI146" i="1"/>
  <c r="AI39" i="1" s="1"/>
  <c r="AI147" i="1"/>
  <c r="AI150" i="1"/>
  <c r="AI151" i="1"/>
  <c r="AI152" i="1"/>
  <c r="AI153" i="1"/>
  <c r="AI154" i="1"/>
  <c r="AI155" i="1"/>
  <c r="AI131" i="1"/>
  <c r="AI132" i="1"/>
  <c r="AI133" i="1"/>
  <c r="AI134" i="1"/>
  <c r="AJ8" i="1"/>
  <c r="AI9" i="1"/>
  <c r="AI10" i="1" s="1"/>
  <c r="AI29" i="1"/>
  <c r="AI135" i="1"/>
  <c r="AI137" i="1"/>
  <c r="AI138" i="1"/>
  <c r="AI140" i="1"/>
  <c r="AI141" i="1"/>
  <c r="AI143" i="1"/>
  <c r="AI144" i="1"/>
  <c r="AH49" i="1"/>
  <c r="AH47" i="1"/>
  <c r="AH58" i="1"/>
  <c r="AH20" i="1"/>
  <c r="AH19" i="1"/>
  <c r="AG40" i="1"/>
  <c r="W60" i="1"/>
  <c r="W61" i="1" s="1"/>
  <c r="W62" i="1" s="1"/>
  <c r="X57" i="1" s="1"/>
  <c r="AG22" i="1"/>
  <c r="AH39" i="1"/>
  <c r="AI49" i="1" l="1"/>
  <c r="AI47" i="1"/>
  <c r="AI20" i="1"/>
  <c r="AI19" i="1"/>
  <c r="AI21" i="1"/>
  <c r="AI24" i="1"/>
  <c r="AJ135" i="1"/>
  <c r="AJ136" i="1"/>
  <c r="AJ138" i="1"/>
  <c r="AJ139" i="1"/>
  <c r="AJ141" i="1"/>
  <c r="AJ38" i="1" s="1"/>
  <c r="AJ143" i="1"/>
  <c r="AJ144" i="1"/>
  <c r="AJ128" i="1"/>
  <c r="AJ130" i="1"/>
  <c r="AJ137" i="1"/>
  <c r="AJ140" i="1"/>
  <c r="AJ145" i="1"/>
  <c r="AJ146" i="1"/>
  <c r="AJ147" i="1"/>
  <c r="AJ150" i="1"/>
  <c r="AJ58" i="1" s="1"/>
  <c r="AJ64" i="1" s="1"/>
  <c r="AJ151" i="1"/>
  <c r="AJ152" i="1"/>
  <c r="AJ153" i="1"/>
  <c r="AJ154" i="1"/>
  <c r="AJ155" i="1"/>
  <c r="AK8" i="1"/>
  <c r="AJ9" i="1"/>
  <c r="AJ10" i="1" s="1"/>
  <c r="AJ29" i="1"/>
  <c r="AJ131" i="1"/>
  <c r="AJ132" i="1"/>
  <c r="AJ133" i="1"/>
  <c r="AJ134" i="1"/>
  <c r="AI38" i="1"/>
  <c r="AH48" i="1"/>
  <c r="AH50" i="1" s="1"/>
  <c r="AH64" i="1"/>
  <c r="AH22" i="1"/>
  <c r="AH40" i="1"/>
  <c r="X59" i="1"/>
  <c r="AI15" i="1"/>
  <c r="AI58" i="1"/>
  <c r="AI64" i="1" s="1"/>
  <c r="AI48" i="1" l="1"/>
  <c r="AI50" i="1" s="1"/>
  <c r="AJ15" i="1"/>
  <c r="AJ39" i="1"/>
  <c r="AJ47" i="1"/>
  <c r="AJ49" i="1"/>
  <c r="AJ19" i="1"/>
  <c r="AJ20" i="1"/>
  <c r="AK131" i="1"/>
  <c r="AK132" i="1"/>
  <c r="AK133" i="1"/>
  <c r="AK24" i="1" s="1"/>
  <c r="AK134" i="1"/>
  <c r="AK128" i="1"/>
  <c r="AK130" i="1"/>
  <c r="AK135" i="1"/>
  <c r="AK141" i="1"/>
  <c r="AK143" i="1"/>
  <c r="AK144" i="1"/>
  <c r="AL8" i="1"/>
  <c r="AK9" i="1"/>
  <c r="AK10" i="1" s="1"/>
  <c r="AK29" i="1"/>
  <c r="AK136" i="1"/>
  <c r="AK137" i="1"/>
  <c r="AK138" i="1"/>
  <c r="AK139" i="1"/>
  <c r="AK140" i="1"/>
  <c r="AK145" i="1"/>
  <c r="AK146" i="1"/>
  <c r="AK147" i="1"/>
  <c r="AK150" i="1"/>
  <c r="AK151" i="1"/>
  <c r="AK152" i="1"/>
  <c r="AK153" i="1"/>
  <c r="AK154" i="1"/>
  <c r="AK155" i="1"/>
  <c r="AJ21" i="1"/>
  <c r="AI40" i="1"/>
  <c r="X60" i="1"/>
  <c r="AI22" i="1"/>
  <c r="AJ24" i="1"/>
  <c r="AJ40" i="1" l="1"/>
  <c r="AJ48" i="1"/>
  <c r="AJ50" i="1" s="1"/>
  <c r="AJ22" i="1"/>
  <c r="AK21" i="1"/>
  <c r="AK38" i="1"/>
  <c r="AL128" i="1"/>
  <c r="AL130" i="1"/>
  <c r="AL136" i="1"/>
  <c r="AL138" i="1"/>
  <c r="AL145" i="1"/>
  <c r="AL146" i="1"/>
  <c r="AL39" i="1" s="1"/>
  <c r="AL147" i="1"/>
  <c r="AL150" i="1"/>
  <c r="AL58" i="1" s="1"/>
  <c r="AL64" i="1" s="1"/>
  <c r="AL151" i="1"/>
  <c r="AL152" i="1"/>
  <c r="AL153" i="1"/>
  <c r="AL154" i="1"/>
  <c r="AL155" i="1"/>
  <c r="AL9" i="1"/>
  <c r="AL10" i="1" s="1"/>
  <c r="AL131" i="1"/>
  <c r="AL132" i="1"/>
  <c r="AL133" i="1"/>
  <c r="AL134" i="1"/>
  <c r="AM8" i="1"/>
  <c r="AL29" i="1"/>
  <c r="AL135" i="1"/>
  <c r="AL137" i="1"/>
  <c r="AL139" i="1"/>
  <c r="AL140" i="1"/>
  <c r="AL141" i="1"/>
  <c r="AL38" i="1" s="1"/>
  <c r="AL143" i="1"/>
  <c r="AL144" i="1"/>
  <c r="AK49" i="1"/>
  <c r="AK47" i="1"/>
  <c r="AK58" i="1"/>
  <c r="AK19" i="1"/>
  <c r="AK20" i="1"/>
  <c r="X61" i="1"/>
  <c r="X62" i="1" s="1"/>
  <c r="Y57" i="1" s="1"/>
  <c r="AK15" i="1"/>
  <c r="AK39" i="1"/>
  <c r="AK40" i="1" l="1"/>
  <c r="AL49" i="1"/>
  <c r="AL47" i="1"/>
  <c r="AL19" i="1"/>
  <c r="AL20" i="1"/>
  <c r="AL21" i="1"/>
  <c r="AL24" i="1"/>
  <c r="AM130" i="1"/>
  <c r="AM136" i="1"/>
  <c r="AM138" i="1"/>
  <c r="AM141" i="1"/>
  <c r="AM143" i="1"/>
  <c r="AM144" i="1"/>
  <c r="AN8" i="1"/>
  <c r="AM9" i="1"/>
  <c r="AM10" i="1" s="1"/>
  <c r="AM128" i="1"/>
  <c r="AM135" i="1"/>
  <c r="AM137" i="1"/>
  <c r="AM139" i="1"/>
  <c r="AM140" i="1"/>
  <c r="AM145" i="1"/>
  <c r="AM146" i="1"/>
  <c r="AM147" i="1"/>
  <c r="AM150" i="1"/>
  <c r="AM151" i="1"/>
  <c r="AM152" i="1"/>
  <c r="AM153" i="1"/>
  <c r="AM154" i="1"/>
  <c r="AM155" i="1"/>
  <c r="AM29" i="1"/>
  <c r="AM131" i="1"/>
  <c r="AM132" i="1"/>
  <c r="AM133" i="1"/>
  <c r="AM24" i="1" s="1"/>
  <c r="AM134" i="1"/>
  <c r="AK48" i="1"/>
  <c r="AK50" i="1"/>
  <c r="AK64" i="1"/>
  <c r="Y59" i="1"/>
  <c r="AL40" i="1"/>
  <c r="AK22" i="1"/>
  <c r="AL15" i="1"/>
  <c r="AL48" i="1" l="1"/>
  <c r="AL50" i="1" s="1"/>
  <c r="AL22" i="1"/>
  <c r="AM15" i="1"/>
  <c r="AM38" i="1"/>
  <c r="AN29" i="1"/>
  <c r="AN130" i="1"/>
  <c r="AN135" i="1"/>
  <c r="AN136" i="1"/>
  <c r="AN137" i="1"/>
  <c r="AN138" i="1"/>
  <c r="AN145" i="1"/>
  <c r="AN146" i="1"/>
  <c r="AN39" i="1" s="1"/>
  <c r="AN147" i="1"/>
  <c r="AN150" i="1"/>
  <c r="AN58" i="1" s="1"/>
  <c r="AN64" i="1" s="1"/>
  <c r="AN151" i="1"/>
  <c r="AN152" i="1"/>
  <c r="AN153" i="1"/>
  <c r="AN154" i="1"/>
  <c r="AN155" i="1"/>
  <c r="AO8" i="1"/>
  <c r="AN131" i="1"/>
  <c r="AN132" i="1"/>
  <c r="AN133" i="1"/>
  <c r="AN134" i="1"/>
  <c r="AN9" i="1"/>
  <c r="AN10" i="1" s="1"/>
  <c r="AN128" i="1"/>
  <c r="AN139" i="1"/>
  <c r="AN140" i="1"/>
  <c r="AN141" i="1"/>
  <c r="AN143" i="1"/>
  <c r="AN144" i="1"/>
  <c r="AM39" i="1"/>
  <c r="AM47" i="1"/>
  <c r="AM49" i="1"/>
  <c r="AM58" i="1"/>
  <c r="AM19" i="1"/>
  <c r="AM20" i="1"/>
  <c r="AM21" i="1"/>
  <c r="Y60" i="1"/>
  <c r="AM40" i="1" l="1"/>
  <c r="AN47" i="1"/>
  <c r="AN49" i="1"/>
  <c r="AN19" i="1"/>
  <c r="AN20" i="1"/>
  <c r="AO9" i="1"/>
  <c r="AO10" i="1" s="1"/>
  <c r="AO131" i="1"/>
  <c r="AO132" i="1"/>
  <c r="AO133" i="1"/>
  <c r="AO24" i="1" s="1"/>
  <c r="AO29" i="1"/>
  <c r="AO135" i="1"/>
  <c r="AO136" i="1"/>
  <c r="AO137" i="1"/>
  <c r="AO138" i="1"/>
  <c r="AO141" i="1"/>
  <c r="AO38" i="1" s="1"/>
  <c r="AO143" i="1"/>
  <c r="AO144" i="1"/>
  <c r="AP8" i="1"/>
  <c r="AO128" i="1"/>
  <c r="AO130" i="1"/>
  <c r="AO134" i="1"/>
  <c r="AO139" i="1"/>
  <c r="AO140" i="1"/>
  <c r="AO145" i="1"/>
  <c r="AO146" i="1"/>
  <c r="AO147" i="1"/>
  <c r="AO150" i="1"/>
  <c r="AO151" i="1"/>
  <c r="AO152" i="1"/>
  <c r="AO153" i="1"/>
  <c r="AO154" i="1"/>
  <c r="AO155" i="1"/>
  <c r="AN21" i="1"/>
  <c r="AN24" i="1"/>
  <c r="AM48" i="1"/>
  <c r="AM50" i="1" s="1"/>
  <c r="AM64" i="1"/>
  <c r="Y61" i="1"/>
  <c r="Y62" i="1" s="1"/>
  <c r="Z57" i="1" s="1"/>
  <c r="AN15" i="1"/>
  <c r="AM22" i="1"/>
  <c r="AN38" i="1"/>
  <c r="AN40" i="1" s="1"/>
  <c r="AN48" i="1" l="1"/>
  <c r="AN50" i="1" s="1"/>
  <c r="AN22" i="1"/>
  <c r="AO21" i="1"/>
  <c r="AP130" i="1"/>
  <c r="AP135" i="1"/>
  <c r="AP136" i="1"/>
  <c r="AP137" i="1"/>
  <c r="AP138" i="1"/>
  <c r="AP145" i="1"/>
  <c r="AP146" i="1"/>
  <c r="AP39" i="1" s="1"/>
  <c r="AP147" i="1"/>
  <c r="AP150" i="1"/>
  <c r="AP151" i="1"/>
  <c r="AP152" i="1"/>
  <c r="AP153" i="1"/>
  <c r="AP154" i="1"/>
  <c r="AP155" i="1"/>
  <c r="AQ8" i="1"/>
  <c r="AP9" i="1"/>
  <c r="AP10" i="1" s="1"/>
  <c r="AP29" i="1"/>
  <c r="AP131" i="1"/>
  <c r="AP132" i="1"/>
  <c r="AP133" i="1"/>
  <c r="AP128" i="1"/>
  <c r="AP134" i="1"/>
  <c r="AP139" i="1"/>
  <c r="AP140" i="1"/>
  <c r="AP141" i="1"/>
  <c r="AP143" i="1"/>
  <c r="AP144" i="1"/>
  <c r="AO15" i="1"/>
  <c r="AO39" i="1"/>
  <c r="AO49" i="1"/>
  <c r="AO47" i="1"/>
  <c r="AO58" i="1"/>
  <c r="AO20" i="1"/>
  <c r="AO19" i="1"/>
  <c r="Z59" i="1"/>
  <c r="AP47" i="1" l="1"/>
  <c r="AP49" i="1"/>
  <c r="AP19" i="1"/>
  <c r="AP20" i="1"/>
  <c r="AQ29" i="1"/>
  <c r="AQ131" i="1"/>
  <c r="AQ132" i="1"/>
  <c r="AQ133" i="1"/>
  <c r="AQ24" i="1" s="1"/>
  <c r="AR8" i="1"/>
  <c r="AQ9" i="1"/>
  <c r="AQ10" i="1" s="1"/>
  <c r="AQ135" i="1"/>
  <c r="AQ138" i="1"/>
  <c r="AQ141" i="1"/>
  <c r="AQ38" i="1" s="1"/>
  <c r="AQ143" i="1"/>
  <c r="AQ144" i="1"/>
  <c r="AQ128" i="1"/>
  <c r="AQ130" i="1"/>
  <c r="AQ134" i="1"/>
  <c r="AQ136" i="1"/>
  <c r="AQ137" i="1"/>
  <c r="AQ139" i="1"/>
  <c r="AQ140" i="1"/>
  <c r="AQ145" i="1"/>
  <c r="AQ146" i="1"/>
  <c r="AQ147" i="1"/>
  <c r="AQ150" i="1"/>
  <c r="AQ58" i="1" s="1"/>
  <c r="AQ64" i="1" s="1"/>
  <c r="AQ151" i="1"/>
  <c r="AQ152" i="1"/>
  <c r="AQ153" i="1"/>
  <c r="AQ154" i="1"/>
  <c r="AQ155" i="1"/>
  <c r="AP21" i="1"/>
  <c r="AP24" i="1"/>
  <c r="AP38" i="1"/>
  <c r="AO40" i="1"/>
  <c r="AO48" i="1"/>
  <c r="AO50" i="1" s="1"/>
  <c r="AO64" i="1"/>
  <c r="Z60" i="1"/>
  <c r="AP15" i="1"/>
  <c r="AP58" i="1"/>
  <c r="AP64" i="1" s="1"/>
  <c r="AO22" i="1"/>
  <c r="AP48" i="1" l="1"/>
  <c r="AP50" i="1" s="1"/>
  <c r="AQ21" i="1"/>
  <c r="AR128" i="1"/>
  <c r="AR136" i="1"/>
  <c r="AR139" i="1"/>
  <c r="AR140" i="1"/>
  <c r="AR141" i="1"/>
  <c r="AR143" i="1"/>
  <c r="AR144" i="1"/>
  <c r="AS8" i="1"/>
  <c r="AR9" i="1"/>
  <c r="AR10" i="1" s="1"/>
  <c r="AR29" i="1"/>
  <c r="AR130" i="1"/>
  <c r="AR134" i="1"/>
  <c r="AR135" i="1"/>
  <c r="AR137" i="1"/>
  <c r="AR138" i="1"/>
  <c r="AR145" i="1"/>
  <c r="AR146" i="1"/>
  <c r="AR39" i="1" s="1"/>
  <c r="AR147" i="1"/>
  <c r="AR150" i="1"/>
  <c r="AR151" i="1"/>
  <c r="AR152" i="1"/>
  <c r="AR153" i="1"/>
  <c r="AR154" i="1"/>
  <c r="AR155" i="1"/>
  <c r="AR131" i="1"/>
  <c r="AR132" i="1"/>
  <c r="AR133" i="1"/>
  <c r="AQ15" i="1"/>
  <c r="AQ39" i="1"/>
  <c r="AQ47" i="1"/>
  <c r="AQ49" i="1"/>
  <c r="AQ19" i="1"/>
  <c r="AQ20" i="1"/>
  <c r="AP40" i="1"/>
  <c r="Z61" i="1"/>
  <c r="Z62" i="1" s="1"/>
  <c r="AA57" i="1" s="1"/>
  <c r="AP22" i="1"/>
  <c r="AR38" i="1" l="1"/>
  <c r="AT8" i="1"/>
  <c r="AS29" i="1"/>
  <c r="AS128" i="1"/>
  <c r="AS130" i="1"/>
  <c r="AS136" i="1"/>
  <c r="AS137" i="1"/>
  <c r="AS138" i="1"/>
  <c r="AS139" i="1"/>
  <c r="AS140" i="1"/>
  <c r="AS145" i="1"/>
  <c r="AS146" i="1"/>
  <c r="AS147" i="1"/>
  <c r="AS150" i="1"/>
  <c r="AS58" i="1" s="1"/>
  <c r="AS64" i="1" s="1"/>
  <c r="AS151" i="1"/>
  <c r="AS152" i="1"/>
  <c r="AS153" i="1"/>
  <c r="AS154" i="1"/>
  <c r="AS155" i="1"/>
  <c r="AS9" i="1"/>
  <c r="AS10" i="1" s="1"/>
  <c r="AS131" i="1"/>
  <c r="AS132" i="1"/>
  <c r="AS133" i="1"/>
  <c r="AS24" i="1" s="1"/>
  <c r="AS134" i="1"/>
  <c r="AS135" i="1"/>
  <c r="AS141" i="1"/>
  <c r="AS143" i="1"/>
  <c r="AS144" i="1"/>
  <c r="AR47" i="1"/>
  <c r="AR49" i="1"/>
  <c r="AR58" i="1"/>
  <c r="AR19" i="1"/>
  <c r="AR20" i="1"/>
  <c r="AR21" i="1"/>
  <c r="AR24" i="1"/>
  <c r="AQ40" i="1"/>
  <c r="AQ48" i="1"/>
  <c r="AQ50" i="1" s="1"/>
  <c r="AQ22" i="1"/>
  <c r="AA59" i="1"/>
  <c r="AR15" i="1"/>
  <c r="AR40" i="1" l="1"/>
  <c r="AT9" i="1"/>
  <c r="AT10" i="1" s="1"/>
  <c r="AT130" i="1"/>
  <c r="AT134" i="1"/>
  <c r="AT135" i="1"/>
  <c r="AT136" i="1"/>
  <c r="AT145" i="1"/>
  <c r="AT146" i="1"/>
  <c r="AT39" i="1" s="1"/>
  <c r="AT147" i="1"/>
  <c r="AT150" i="1"/>
  <c r="AT151" i="1"/>
  <c r="AT152" i="1"/>
  <c r="AT153" i="1"/>
  <c r="AT154" i="1"/>
  <c r="AT155" i="1"/>
  <c r="AT29" i="1"/>
  <c r="AT131" i="1"/>
  <c r="AT132" i="1"/>
  <c r="AT133" i="1"/>
  <c r="AU8" i="1"/>
  <c r="AT128" i="1"/>
  <c r="AT137" i="1"/>
  <c r="AT138" i="1"/>
  <c r="AT139" i="1"/>
  <c r="AT140" i="1"/>
  <c r="AT141" i="1"/>
  <c r="AT38" i="1" s="1"/>
  <c r="AT143" i="1"/>
  <c r="AT144" i="1"/>
  <c r="AS15" i="1"/>
  <c r="AS39" i="1"/>
  <c r="AS49" i="1"/>
  <c r="AS47" i="1"/>
  <c r="AS19" i="1"/>
  <c r="AS20" i="1"/>
  <c r="AS21" i="1"/>
  <c r="AR48" i="1"/>
  <c r="AR50" i="1" s="1"/>
  <c r="AR64" i="1"/>
  <c r="AA60" i="1"/>
  <c r="AR22" i="1"/>
  <c r="AS38" i="1"/>
  <c r="AT47" i="1" l="1"/>
  <c r="AT49" i="1"/>
  <c r="AT58" i="1"/>
  <c r="AT19" i="1"/>
  <c r="AT20" i="1"/>
  <c r="AT21" i="1"/>
  <c r="AT24" i="1"/>
  <c r="AU29" i="1"/>
  <c r="AU135" i="1"/>
  <c r="AU136" i="1"/>
  <c r="AU141" i="1"/>
  <c r="AU143" i="1"/>
  <c r="AU144" i="1"/>
  <c r="AU128" i="1"/>
  <c r="AU130" i="1"/>
  <c r="AU134" i="1"/>
  <c r="AU137" i="1"/>
  <c r="AU138" i="1"/>
  <c r="AU139" i="1"/>
  <c r="AU140" i="1"/>
  <c r="AU145" i="1"/>
  <c r="AU146" i="1"/>
  <c r="AU147" i="1"/>
  <c r="AU150" i="1"/>
  <c r="AU151" i="1"/>
  <c r="AU152" i="1"/>
  <c r="AU153" i="1"/>
  <c r="AU154" i="1"/>
  <c r="AU155" i="1"/>
  <c r="AV8" i="1"/>
  <c r="AU9" i="1"/>
  <c r="AU10" i="1" s="1"/>
  <c r="AU131" i="1"/>
  <c r="AU132" i="1"/>
  <c r="AU133" i="1"/>
  <c r="AS40" i="1"/>
  <c r="AS48" i="1"/>
  <c r="AS50" i="1" s="1"/>
  <c r="AS22" i="1"/>
  <c r="AA61" i="1"/>
  <c r="AA62" i="1" s="1"/>
  <c r="AB57" i="1" s="1"/>
  <c r="AT15" i="1"/>
  <c r="AT40" i="1"/>
  <c r="AT48" i="1" l="1"/>
  <c r="AT50" i="1" s="1"/>
  <c r="AT64" i="1"/>
  <c r="AU38" i="1"/>
  <c r="AU15" i="1"/>
  <c r="AU39" i="1"/>
  <c r="AU47" i="1"/>
  <c r="AU49" i="1"/>
  <c r="AU19" i="1"/>
  <c r="AU20" i="1"/>
  <c r="AV131" i="1"/>
  <c r="AV132" i="1"/>
  <c r="AV133" i="1"/>
  <c r="AV24" i="1" s="1"/>
  <c r="AV9" i="1"/>
  <c r="AV10" i="1" s="1"/>
  <c r="AV128" i="1"/>
  <c r="AV134" i="1"/>
  <c r="AV138" i="1"/>
  <c r="AV139" i="1"/>
  <c r="AV140" i="1"/>
  <c r="AV141" i="1"/>
  <c r="AV38" i="1" s="1"/>
  <c r="AV143" i="1"/>
  <c r="AV144" i="1"/>
  <c r="AW8" i="1"/>
  <c r="AV29" i="1"/>
  <c r="AV130" i="1"/>
  <c r="AV135" i="1"/>
  <c r="AV136" i="1"/>
  <c r="AV137" i="1"/>
  <c r="AV145" i="1"/>
  <c r="AV146" i="1"/>
  <c r="AV39" i="1" s="1"/>
  <c r="AV147" i="1"/>
  <c r="AV150" i="1"/>
  <c r="AV58" i="1" s="1"/>
  <c r="AV151" i="1"/>
  <c r="AV152" i="1"/>
  <c r="AV153" i="1"/>
  <c r="AV154" i="1"/>
  <c r="AV155" i="1"/>
  <c r="AU21" i="1"/>
  <c r="AB59" i="1"/>
  <c r="AT22" i="1"/>
  <c r="AU58" i="1"/>
  <c r="AU64" i="1" s="1"/>
  <c r="AU24" i="1"/>
  <c r="AU40" i="1" l="1"/>
  <c r="AU48" i="1"/>
  <c r="AU50" i="1" s="1"/>
  <c r="AU22" i="1"/>
  <c r="AV21" i="1"/>
  <c r="AW128" i="1"/>
  <c r="AW134" i="1"/>
  <c r="AW135" i="1"/>
  <c r="AW138" i="1"/>
  <c r="AW139" i="1"/>
  <c r="AW140" i="1"/>
  <c r="AW145" i="1"/>
  <c r="AW146" i="1"/>
  <c r="AW147" i="1"/>
  <c r="AW150" i="1"/>
  <c r="AW151" i="1"/>
  <c r="AW152" i="1"/>
  <c r="AW153" i="1"/>
  <c r="AW154" i="1"/>
  <c r="AW155" i="1"/>
  <c r="AX8" i="1"/>
  <c r="AW9" i="1"/>
  <c r="AW10" i="1" s="1"/>
  <c r="AW130" i="1"/>
  <c r="AW131" i="1"/>
  <c r="AW132" i="1"/>
  <c r="AW133" i="1"/>
  <c r="AW29" i="1"/>
  <c r="AW136" i="1"/>
  <c r="AW137" i="1"/>
  <c r="AW141" i="1"/>
  <c r="AW143" i="1"/>
  <c r="AW144" i="1"/>
  <c r="AV47" i="1"/>
  <c r="AV49" i="1"/>
  <c r="AV20" i="1"/>
  <c r="AV19" i="1"/>
  <c r="AB60" i="1"/>
  <c r="AV40" i="1"/>
  <c r="AV15" i="1"/>
  <c r="AV64" i="1"/>
  <c r="AW39" i="1" l="1"/>
  <c r="AW47" i="1"/>
  <c r="AW49" i="1"/>
  <c r="AW58" i="1"/>
  <c r="AW19" i="1"/>
  <c r="AW20" i="1"/>
  <c r="AX29" i="1"/>
  <c r="AX130" i="1"/>
  <c r="AX131" i="1"/>
  <c r="AX132" i="1"/>
  <c r="AX133" i="1"/>
  <c r="AX24" i="1" s="1"/>
  <c r="AY8" i="1"/>
  <c r="AX128" i="1"/>
  <c r="AX134" i="1"/>
  <c r="AX135" i="1"/>
  <c r="AX138" i="1"/>
  <c r="AX139" i="1"/>
  <c r="AX140" i="1"/>
  <c r="AX141" i="1"/>
  <c r="AX38" i="1" s="1"/>
  <c r="AX143" i="1"/>
  <c r="AX144" i="1"/>
  <c r="AX9" i="1"/>
  <c r="AX10" i="1" s="1"/>
  <c r="AX136" i="1"/>
  <c r="AX137" i="1"/>
  <c r="AX145" i="1"/>
  <c r="AX146" i="1"/>
  <c r="AX147" i="1"/>
  <c r="AX150" i="1"/>
  <c r="AX151" i="1"/>
  <c r="AX152" i="1"/>
  <c r="AX153" i="1"/>
  <c r="AX154" i="1"/>
  <c r="AX155" i="1"/>
  <c r="AW15" i="1"/>
  <c r="AW21" i="1"/>
  <c r="AW24" i="1"/>
  <c r="AW38" i="1"/>
  <c r="AV48" i="1"/>
  <c r="AV50" i="1" s="1"/>
  <c r="AB61" i="1"/>
  <c r="AB62" i="1" s="1"/>
  <c r="AC57" i="1" s="1"/>
  <c r="AV22" i="1"/>
  <c r="AW48" i="1" l="1"/>
  <c r="AW50" i="1" s="1"/>
  <c r="AW64" i="1"/>
  <c r="AW22" i="1"/>
  <c r="AX21" i="1"/>
  <c r="AY29" i="1"/>
  <c r="AY136" i="1"/>
  <c r="AY141" i="1"/>
  <c r="AY143" i="1"/>
  <c r="AY144" i="1"/>
  <c r="AZ8" i="1"/>
  <c r="AY128" i="1"/>
  <c r="AY134" i="1"/>
  <c r="AY135" i="1"/>
  <c r="AY137" i="1"/>
  <c r="AY138" i="1"/>
  <c r="AY139" i="1"/>
  <c r="AY140" i="1"/>
  <c r="AY145" i="1"/>
  <c r="AY146" i="1"/>
  <c r="AY39" i="1" s="1"/>
  <c r="AY147" i="1"/>
  <c r="AY150" i="1"/>
  <c r="AY58" i="1" s="1"/>
  <c r="AY151" i="1"/>
  <c r="AY152" i="1"/>
  <c r="AY153" i="1"/>
  <c r="AY154" i="1"/>
  <c r="AY155" i="1"/>
  <c r="AY9" i="1"/>
  <c r="AY10" i="1" s="1"/>
  <c r="AY130" i="1"/>
  <c r="AY131" i="1"/>
  <c r="AY132" i="1"/>
  <c r="AY133" i="1"/>
  <c r="AX47" i="1"/>
  <c r="AX49" i="1"/>
  <c r="AX19" i="1"/>
  <c r="AX20" i="1"/>
  <c r="AW40" i="1"/>
  <c r="AC59" i="1"/>
  <c r="AX15" i="1"/>
  <c r="AX39" i="1"/>
  <c r="AX58" i="1"/>
  <c r="AX64" i="1" s="1"/>
  <c r="AY38" i="1" l="1"/>
  <c r="BA8" i="1"/>
  <c r="AZ9" i="1"/>
  <c r="AZ10" i="1" s="1"/>
  <c r="AZ135" i="1"/>
  <c r="AZ136" i="1"/>
  <c r="AZ138" i="1"/>
  <c r="AZ139" i="1"/>
  <c r="AZ145" i="1"/>
  <c r="AZ146" i="1"/>
  <c r="AZ147" i="1"/>
  <c r="AZ150" i="1"/>
  <c r="AZ151" i="1"/>
  <c r="AZ152" i="1"/>
  <c r="AZ153" i="1"/>
  <c r="AZ154" i="1"/>
  <c r="AZ155" i="1"/>
  <c r="AZ29" i="1"/>
  <c r="AZ130" i="1"/>
  <c r="AZ15" i="1" s="1"/>
  <c r="AZ131" i="1"/>
  <c r="AZ132" i="1"/>
  <c r="AZ133" i="1"/>
  <c r="AZ24" i="1" s="1"/>
  <c r="AZ128" i="1"/>
  <c r="AZ134" i="1"/>
  <c r="AZ137" i="1"/>
  <c r="AZ140" i="1"/>
  <c r="AZ141" i="1"/>
  <c r="AZ143" i="1"/>
  <c r="AZ144" i="1"/>
  <c r="AY49" i="1"/>
  <c r="AY47" i="1"/>
  <c r="AY20" i="1"/>
  <c r="AY19" i="1"/>
  <c r="AY15" i="1"/>
  <c r="AY21" i="1"/>
  <c r="AY24" i="1"/>
  <c r="AX48" i="1"/>
  <c r="AX50" i="1" s="1"/>
  <c r="AC60" i="1"/>
  <c r="AX40" i="1"/>
  <c r="AX22" i="1"/>
  <c r="AY64" i="1"/>
  <c r="AY40" i="1" l="1"/>
  <c r="BA29" i="1"/>
  <c r="BA128" i="1"/>
  <c r="BA134" i="1"/>
  <c r="BA137" i="1"/>
  <c r="BA138" i="1"/>
  <c r="BA140" i="1"/>
  <c r="BA145" i="1"/>
  <c r="BA146" i="1"/>
  <c r="BA39" i="1" s="1"/>
  <c r="BA147" i="1"/>
  <c r="BA150" i="1"/>
  <c r="BA58" i="1" s="1"/>
  <c r="BA64" i="1" s="1"/>
  <c r="BA151" i="1"/>
  <c r="BA152" i="1"/>
  <c r="BA153" i="1"/>
  <c r="BA154" i="1"/>
  <c r="BA155" i="1"/>
  <c r="BB8" i="1"/>
  <c r="BA9" i="1"/>
  <c r="BA10" i="1" s="1"/>
  <c r="BA130" i="1"/>
  <c r="BA131" i="1"/>
  <c r="BA132" i="1"/>
  <c r="BA133" i="1"/>
  <c r="BA135" i="1"/>
  <c r="BA136" i="1"/>
  <c r="BA139" i="1"/>
  <c r="BA141" i="1"/>
  <c r="BA38" i="1" s="1"/>
  <c r="BA143" i="1"/>
  <c r="BA144" i="1"/>
  <c r="AZ39" i="1"/>
  <c r="AZ47" i="1"/>
  <c r="AZ49" i="1"/>
  <c r="AZ58" i="1"/>
  <c r="AZ20" i="1"/>
  <c r="AZ19" i="1"/>
  <c r="AZ21" i="1"/>
  <c r="AY48" i="1"/>
  <c r="AY50" i="1" s="1"/>
  <c r="AY22" i="1"/>
  <c r="AC61" i="1"/>
  <c r="AC62" i="1" s="1"/>
  <c r="AD57" i="1" s="1"/>
  <c r="AZ38" i="1"/>
  <c r="BA47" i="1" l="1"/>
  <c r="BA49" i="1"/>
  <c r="BA19" i="1"/>
  <c r="BA20" i="1"/>
  <c r="BB29" i="1"/>
  <c r="BB130" i="1"/>
  <c r="BB131" i="1"/>
  <c r="BB132" i="1"/>
  <c r="BB133" i="1"/>
  <c r="BB24" i="1" s="1"/>
  <c r="BC8" i="1"/>
  <c r="BB9" i="1"/>
  <c r="BB10" i="1" s="1"/>
  <c r="BB128" i="1"/>
  <c r="BB134" i="1"/>
  <c r="BB138" i="1"/>
  <c r="BB141" i="1"/>
  <c r="BB143" i="1"/>
  <c r="BB144" i="1"/>
  <c r="BB135" i="1"/>
  <c r="BB136" i="1"/>
  <c r="BB137" i="1"/>
  <c r="BB139" i="1"/>
  <c r="BB140" i="1"/>
  <c r="BB145" i="1"/>
  <c r="BB146" i="1"/>
  <c r="BB147" i="1"/>
  <c r="BB150" i="1"/>
  <c r="BB151" i="1"/>
  <c r="BB152" i="1"/>
  <c r="BB153" i="1"/>
  <c r="BB154" i="1"/>
  <c r="BB155" i="1"/>
  <c r="BA15" i="1"/>
  <c r="BA21" i="1"/>
  <c r="BA24" i="1"/>
  <c r="AZ40" i="1"/>
  <c r="AZ48" i="1"/>
  <c r="AZ50" i="1" s="1"/>
  <c r="AZ64" i="1"/>
  <c r="AD59" i="1"/>
  <c r="AZ22" i="1"/>
  <c r="BA40" i="1"/>
  <c r="BA48" i="1" l="1"/>
  <c r="BA50" i="1"/>
  <c r="BA22" i="1"/>
  <c r="BB21" i="1"/>
  <c r="BC135" i="1"/>
  <c r="BC137" i="1"/>
  <c r="BC139" i="1"/>
  <c r="BC140" i="1"/>
  <c r="BC141" i="1"/>
  <c r="BC38" i="1" s="1"/>
  <c r="BC143" i="1"/>
  <c r="BC144" i="1"/>
  <c r="BD8" i="1"/>
  <c r="BC29" i="1"/>
  <c r="BC128" i="1"/>
  <c r="BC134" i="1"/>
  <c r="BC136" i="1"/>
  <c r="BC138" i="1"/>
  <c r="BC145" i="1"/>
  <c r="BC146" i="1"/>
  <c r="BC39" i="1" s="1"/>
  <c r="BC147" i="1"/>
  <c r="BC150" i="1"/>
  <c r="BC58" i="1" s="1"/>
  <c r="BC64" i="1" s="1"/>
  <c r="BC151" i="1"/>
  <c r="BC152" i="1"/>
  <c r="BC153" i="1"/>
  <c r="BC154" i="1"/>
  <c r="BC155" i="1"/>
  <c r="BC9" i="1"/>
  <c r="BC10" i="1" s="1"/>
  <c r="BC130" i="1"/>
  <c r="BC131" i="1"/>
  <c r="BC132" i="1"/>
  <c r="BC133" i="1"/>
  <c r="BB38" i="1"/>
  <c r="BB39" i="1"/>
  <c r="BB49" i="1"/>
  <c r="BB47" i="1"/>
  <c r="BB58" i="1"/>
  <c r="BB20" i="1"/>
  <c r="BB19" i="1"/>
  <c r="AD60" i="1"/>
  <c r="BB15" i="1"/>
  <c r="BE8" i="1" l="1"/>
  <c r="BD9" i="1"/>
  <c r="BD10" i="1" s="1"/>
  <c r="BD128" i="1"/>
  <c r="BD135" i="1"/>
  <c r="BD137" i="1"/>
  <c r="BD139" i="1"/>
  <c r="BD140" i="1"/>
  <c r="BD145" i="1"/>
  <c r="BD146" i="1"/>
  <c r="BD147" i="1"/>
  <c r="BD150" i="1"/>
  <c r="BD151" i="1"/>
  <c r="BD152" i="1"/>
  <c r="BD153" i="1"/>
  <c r="BD154" i="1"/>
  <c r="BD155" i="1"/>
  <c r="BD130" i="1"/>
  <c r="BD131" i="1"/>
  <c r="BD132" i="1"/>
  <c r="BD133" i="1"/>
  <c r="BD24" i="1" s="1"/>
  <c r="BD29" i="1"/>
  <c r="BD134" i="1"/>
  <c r="BD136" i="1"/>
  <c r="BD138" i="1"/>
  <c r="BD141" i="1"/>
  <c r="BD143" i="1"/>
  <c r="BD144" i="1"/>
  <c r="BC47" i="1"/>
  <c r="BC49" i="1"/>
  <c r="BC19" i="1"/>
  <c r="BC20" i="1"/>
  <c r="BC15" i="1"/>
  <c r="BC21" i="1"/>
  <c r="BC24" i="1"/>
  <c r="BB40" i="1"/>
  <c r="BB48" i="1"/>
  <c r="BB50" i="1"/>
  <c r="BB64" i="1"/>
  <c r="AD61" i="1"/>
  <c r="AD62" i="1" s="1"/>
  <c r="AE57" i="1" s="1"/>
  <c r="BC40" i="1"/>
  <c r="BB22" i="1"/>
  <c r="BE29" i="1" l="1"/>
  <c r="BE134" i="1"/>
  <c r="BE136" i="1"/>
  <c r="BE138" i="1"/>
  <c r="BE140" i="1"/>
  <c r="BE145" i="1"/>
  <c r="BE146" i="1"/>
  <c r="BE147" i="1"/>
  <c r="BE150" i="1"/>
  <c r="BE151" i="1"/>
  <c r="BE152" i="1"/>
  <c r="BE153" i="1"/>
  <c r="BE154" i="1"/>
  <c r="BE155" i="1"/>
  <c r="BF8" i="1"/>
  <c r="BE9" i="1"/>
  <c r="BE10" i="1" s="1"/>
  <c r="BE130" i="1"/>
  <c r="BE131" i="1"/>
  <c r="BE132" i="1"/>
  <c r="BE133" i="1"/>
  <c r="BE128" i="1"/>
  <c r="BE135" i="1"/>
  <c r="BE137" i="1"/>
  <c r="BE139" i="1"/>
  <c r="BE141" i="1"/>
  <c r="BE38" i="1" s="1"/>
  <c r="BE143" i="1"/>
  <c r="BE144" i="1"/>
  <c r="BD39" i="1"/>
  <c r="BD47" i="1"/>
  <c r="BD49" i="1"/>
  <c r="BD58" i="1"/>
  <c r="BD19" i="1"/>
  <c r="BD20" i="1"/>
  <c r="BD21" i="1"/>
  <c r="BD38" i="1"/>
  <c r="BC48" i="1"/>
  <c r="BC50" i="1" s="1"/>
  <c r="AE59" i="1"/>
  <c r="BD15" i="1"/>
  <c r="BC22" i="1"/>
  <c r="BE47" i="1" l="1"/>
  <c r="BE49" i="1"/>
  <c r="BE20" i="1"/>
  <c r="BE19" i="1"/>
  <c r="BF130" i="1"/>
  <c r="BF131" i="1"/>
  <c r="BF132" i="1"/>
  <c r="BF133" i="1"/>
  <c r="BG8" i="1"/>
  <c r="BF9" i="1"/>
  <c r="BF10" i="1" s="1"/>
  <c r="BF134" i="1"/>
  <c r="BF136" i="1"/>
  <c r="BF138" i="1"/>
  <c r="BF140" i="1"/>
  <c r="BF141" i="1"/>
  <c r="BF143" i="1"/>
  <c r="BF144" i="1"/>
  <c r="BF29" i="1"/>
  <c r="BF128" i="1"/>
  <c r="BF135" i="1"/>
  <c r="BF137" i="1"/>
  <c r="BF139" i="1"/>
  <c r="BF145" i="1"/>
  <c r="BF146" i="1"/>
  <c r="BF39" i="1" s="1"/>
  <c r="BF147" i="1"/>
  <c r="BF150" i="1"/>
  <c r="BF58" i="1" s="1"/>
  <c r="BF64" i="1" s="1"/>
  <c r="BF151" i="1"/>
  <c r="BF152" i="1"/>
  <c r="BF153" i="1"/>
  <c r="BF154" i="1"/>
  <c r="BF155" i="1"/>
  <c r="BE15" i="1"/>
  <c r="BE21" i="1"/>
  <c r="BE24" i="1"/>
  <c r="BD48" i="1"/>
  <c r="BD50" i="1" s="1"/>
  <c r="BD64" i="1"/>
  <c r="BD22" i="1"/>
  <c r="BD40" i="1"/>
  <c r="AE60" i="1"/>
  <c r="BE39" i="1"/>
  <c r="BE40" i="1" s="1"/>
  <c r="BE58" i="1"/>
  <c r="BE64" i="1" s="1"/>
  <c r="BE48" i="1" l="1"/>
  <c r="BE50" i="1" s="1"/>
  <c r="BF21" i="1"/>
  <c r="BG29" i="1"/>
  <c r="BG135" i="1"/>
  <c r="BG141" i="1"/>
  <c r="BG38" i="1" s="1"/>
  <c r="BG143" i="1"/>
  <c r="BG144" i="1"/>
  <c r="BH8" i="1"/>
  <c r="BG9" i="1"/>
  <c r="BG10" i="1" s="1"/>
  <c r="BG128" i="1"/>
  <c r="BG134" i="1"/>
  <c r="BG136" i="1"/>
  <c r="BG137" i="1"/>
  <c r="BG138" i="1"/>
  <c r="BG139" i="1"/>
  <c r="BG140" i="1"/>
  <c r="BG145" i="1"/>
  <c r="BG146" i="1"/>
  <c r="BG147" i="1"/>
  <c r="BG150" i="1"/>
  <c r="BG151" i="1"/>
  <c r="BG152" i="1"/>
  <c r="BG153" i="1"/>
  <c r="BG154" i="1"/>
  <c r="BG155" i="1"/>
  <c r="BG130" i="1"/>
  <c r="BG131" i="1"/>
  <c r="BG132" i="1"/>
  <c r="BG133" i="1"/>
  <c r="BG24" i="1" s="1"/>
  <c r="BF38" i="1"/>
  <c r="BF49" i="1"/>
  <c r="BF47" i="1"/>
  <c r="BF19" i="1"/>
  <c r="BF20" i="1"/>
  <c r="AE61" i="1"/>
  <c r="AE62" i="1" s="1"/>
  <c r="AF57" i="1" s="1"/>
  <c r="BE22" i="1"/>
  <c r="BF15" i="1"/>
  <c r="BF24" i="1"/>
  <c r="BI8" i="1" l="1"/>
  <c r="BH29" i="1"/>
  <c r="BH134" i="1"/>
  <c r="BH135" i="1"/>
  <c r="BH136" i="1"/>
  <c r="BH145" i="1"/>
  <c r="BH146" i="1"/>
  <c r="BH39" i="1" s="1"/>
  <c r="BH147" i="1"/>
  <c r="BH150" i="1"/>
  <c r="BH58" i="1" s="1"/>
  <c r="BH64" i="1" s="1"/>
  <c r="BH151" i="1"/>
  <c r="BH152" i="1"/>
  <c r="BH153" i="1"/>
  <c r="BH154" i="1"/>
  <c r="BH155" i="1"/>
  <c r="BH9" i="1"/>
  <c r="BH10" i="1" s="1"/>
  <c r="BH130" i="1"/>
  <c r="BH131" i="1"/>
  <c r="BH132" i="1"/>
  <c r="BH133" i="1"/>
  <c r="BH128" i="1"/>
  <c r="BH137" i="1"/>
  <c r="BH138" i="1"/>
  <c r="BH139" i="1"/>
  <c r="BH140" i="1"/>
  <c r="BH141" i="1"/>
  <c r="BH143" i="1"/>
  <c r="BH144" i="1"/>
  <c r="BG39" i="1"/>
  <c r="BG47" i="1"/>
  <c r="BG49" i="1"/>
  <c r="BG58" i="1"/>
  <c r="BG19" i="1"/>
  <c r="BG20" i="1"/>
  <c r="BG21" i="1"/>
  <c r="BF40" i="1"/>
  <c r="BF48" i="1"/>
  <c r="BF50" i="1" s="1"/>
  <c r="BF22" i="1"/>
  <c r="AF59" i="1"/>
  <c r="BG15" i="1"/>
  <c r="BG22" i="1" l="1"/>
  <c r="BI128" i="1"/>
  <c r="BI135" i="1"/>
  <c r="BI137" i="1"/>
  <c r="BI138" i="1"/>
  <c r="BI139" i="1"/>
  <c r="BI140" i="1"/>
  <c r="BI145" i="1"/>
  <c r="BI146" i="1"/>
  <c r="BI147" i="1"/>
  <c r="BI150" i="1"/>
  <c r="BI151" i="1"/>
  <c r="BI152" i="1"/>
  <c r="BI153" i="1"/>
  <c r="BI154" i="1"/>
  <c r="BI155" i="1"/>
  <c r="BJ8" i="1"/>
  <c r="BI29" i="1"/>
  <c r="BI130" i="1"/>
  <c r="BI131" i="1"/>
  <c r="BI132" i="1"/>
  <c r="BI133" i="1"/>
  <c r="BI24" i="1" s="1"/>
  <c r="BI9" i="1"/>
  <c r="BI10" i="1" s="1"/>
  <c r="BI134" i="1"/>
  <c r="BI136" i="1"/>
  <c r="BI141" i="1"/>
  <c r="BI38" i="1" s="1"/>
  <c r="BI143" i="1"/>
  <c r="BI144" i="1"/>
  <c r="BH49" i="1"/>
  <c r="BH47" i="1"/>
  <c r="BH19" i="1"/>
  <c r="BH20" i="1"/>
  <c r="BH15" i="1"/>
  <c r="BH21" i="1"/>
  <c r="BH24" i="1"/>
  <c r="BH38" i="1"/>
  <c r="BG40" i="1"/>
  <c r="BG48" i="1"/>
  <c r="BG50" i="1" s="1"/>
  <c r="BG64" i="1"/>
  <c r="AF60" i="1"/>
  <c r="BI39" i="1" l="1"/>
  <c r="BI47" i="1"/>
  <c r="BI49" i="1"/>
  <c r="BI58" i="1"/>
  <c r="BI20" i="1"/>
  <c r="BI19" i="1"/>
  <c r="BJ130" i="1"/>
  <c r="BJ131" i="1"/>
  <c r="BJ132" i="1"/>
  <c r="BJ133" i="1"/>
  <c r="BK8" i="1"/>
  <c r="BJ29" i="1"/>
  <c r="BJ128" i="1"/>
  <c r="BJ135" i="1"/>
  <c r="BJ137" i="1"/>
  <c r="BJ138" i="1"/>
  <c r="BJ139" i="1"/>
  <c r="BJ141" i="1"/>
  <c r="BJ143" i="1"/>
  <c r="BJ144" i="1"/>
  <c r="BJ9" i="1"/>
  <c r="BJ10" i="1" s="1"/>
  <c r="BJ134" i="1"/>
  <c r="BJ136" i="1"/>
  <c r="BJ140" i="1"/>
  <c r="BJ145" i="1"/>
  <c r="BJ146" i="1"/>
  <c r="BJ147" i="1"/>
  <c r="BJ150" i="1"/>
  <c r="BJ151" i="1"/>
  <c r="BJ152" i="1"/>
  <c r="BJ153" i="1"/>
  <c r="BJ154" i="1"/>
  <c r="BJ155" i="1"/>
  <c r="BI21" i="1"/>
  <c r="BH48" i="1"/>
  <c r="BH50" i="1" s="1"/>
  <c r="BH22" i="1"/>
  <c r="BH40" i="1"/>
  <c r="AF61" i="1"/>
  <c r="AF62" i="1" s="1"/>
  <c r="AG57" i="1" s="1"/>
  <c r="BI15" i="1"/>
  <c r="BI40" i="1" l="1"/>
  <c r="BI48" i="1"/>
  <c r="BI50" i="1" s="1"/>
  <c r="BI64" i="1"/>
  <c r="BJ21" i="1"/>
  <c r="BJ24" i="1"/>
  <c r="BK9" i="1"/>
  <c r="BK10" i="1" s="1"/>
  <c r="BK134" i="1"/>
  <c r="BK140" i="1"/>
  <c r="BK141" i="1"/>
  <c r="BK38" i="1" s="1"/>
  <c r="BK143" i="1"/>
  <c r="BK144" i="1"/>
  <c r="BL8" i="1"/>
  <c r="BK128" i="1"/>
  <c r="BK135" i="1"/>
  <c r="BK136" i="1"/>
  <c r="BK137" i="1"/>
  <c r="BK138" i="1"/>
  <c r="BK139" i="1"/>
  <c r="BK145" i="1"/>
  <c r="BK146" i="1"/>
  <c r="BK147" i="1"/>
  <c r="BK150" i="1"/>
  <c r="BK151" i="1"/>
  <c r="BK152" i="1"/>
  <c r="BK153" i="1"/>
  <c r="BK154" i="1"/>
  <c r="BK155" i="1"/>
  <c r="BK29" i="1"/>
  <c r="BK130" i="1"/>
  <c r="BK131" i="1"/>
  <c r="BK132" i="1"/>
  <c r="BK133" i="1"/>
  <c r="BJ38" i="1"/>
  <c r="BJ47" i="1"/>
  <c r="BJ49" i="1"/>
  <c r="BJ19" i="1"/>
  <c r="BJ20" i="1"/>
  <c r="AG59" i="1"/>
  <c r="BI22" i="1"/>
  <c r="BJ15" i="1"/>
  <c r="BJ39" i="1"/>
  <c r="BJ58" i="1"/>
  <c r="BJ64" i="1" s="1"/>
  <c r="BL128" i="1" l="1"/>
  <c r="BL134" i="1"/>
  <c r="BL135" i="1"/>
  <c r="BL139" i="1"/>
  <c r="BL140" i="1"/>
  <c r="BL144" i="1"/>
  <c r="BL145" i="1"/>
  <c r="BL146" i="1"/>
  <c r="BL39" i="1" s="1"/>
  <c r="BL147" i="1"/>
  <c r="BL150" i="1"/>
  <c r="BL58" i="1" s="1"/>
  <c r="BL64" i="1" s="1"/>
  <c r="BL151" i="1"/>
  <c r="BL152" i="1"/>
  <c r="BL153" i="1"/>
  <c r="BL154" i="1"/>
  <c r="BL155" i="1"/>
  <c r="BM8" i="1"/>
  <c r="BL9" i="1"/>
  <c r="BL10" i="1" s="1"/>
  <c r="BL130" i="1"/>
  <c r="BL15" i="1" s="1"/>
  <c r="BL131" i="1"/>
  <c r="BL132" i="1"/>
  <c r="BL133" i="1"/>
  <c r="BL24" i="1" s="1"/>
  <c r="BL29" i="1"/>
  <c r="BL136" i="1"/>
  <c r="BL137" i="1"/>
  <c r="BL138" i="1"/>
  <c r="BL141" i="1"/>
  <c r="BL143" i="1"/>
  <c r="BK49" i="1"/>
  <c r="BK47" i="1"/>
  <c r="BK20" i="1"/>
  <c r="BK19" i="1"/>
  <c r="BK15" i="1"/>
  <c r="BK21" i="1"/>
  <c r="BJ40" i="1"/>
  <c r="BJ48" i="1"/>
  <c r="BJ50" i="1" s="1"/>
  <c r="BJ22" i="1"/>
  <c r="AG60" i="1"/>
  <c r="BK39" i="1"/>
  <c r="BK58" i="1"/>
  <c r="BK24" i="1"/>
  <c r="BL47" i="1" l="1"/>
  <c r="BL49" i="1"/>
  <c r="BL19" i="1"/>
  <c r="BL20" i="1"/>
  <c r="BM29" i="1"/>
  <c r="BM130" i="1"/>
  <c r="BM131" i="1"/>
  <c r="BM132" i="1"/>
  <c r="BM133" i="1"/>
  <c r="BN8" i="1"/>
  <c r="BM128" i="1"/>
  <c r="BM135" i="1"/>
  <c r="BM139" i="1"/>
  <c r="BM141" i="1"/>
  <c r="BM38" i="1" s="1"/>
  <c r="BM143" i="1"/>
  <c r="BM9" i="1"/>
  <c r="BM10" i="1" s="1"/>
  <c r="BM134" i="1"/>
  <c r="BM136" i="1"/>
  <c r="BM137" i="1"/>
  <c r="BM138" i="1"/>
  <c r="BM140" i="1"/>
  <c r="BM144" i="1"/>
  <c r="BM145" i="1"/>
  <c r="BM146" i="1"/>
  <c r="BM147" i="1"/>
  <c r="BM150" i="1"/>
  <c r="BM151" i="1"/>
  <c r="BM152" i="1"/>
  <c r="BM153" i="1"/>
  <c r="BM154" i="1"/>
  <c r="BM155" i="1"/>
  <c r="BL21" i="1"/>
  <c r="BL38" i="1"/>
  <c r="BK48" i="1"/>
  <c r="BK50" i="1" s="1"/>
  <c r="AG61" i="1"/>
  <c r="AG62" i="1" s="1"/>
  <c r="AH57" i="1" s="1"/>
  <c r="BK40" i="1"/>
  <c r="BK64" i="1"/>
  <c r="BK22" i="1"/>
  <c r="BL48" i="1" l="1"/>
  <c r="BL50" i="1" s="1"/>
  <c r="BL22" i="1"/>
  <c r="BM15" i="1"/>
  <c r="BM21" i="1"/>
  <c r="BM24" i="1"/>
  <c r="BN9" i="1"/>
  <c r="BN10" i="1" s="1"/>
  <c r="BN134" i="1"/>
  <c r="BN136" i="1"/>
  <c r="BN137" i="1"/>
  <c r="BN140" i="1"/>
  <c r="BN141" i="1"/>
  <c r="BN143" i="1"/>
  <c r="BO8" i="1"/>
  <c r="BN29" i="1"/>
  <c r="BN128" i="1"/>
  <c r="BN135" i="1"/>
  <c r="BN138" i="1"/>
  <c r="BN139" i="1"/>
  <c r="BN144" i="1"/>
  <c r="BN145" i="1"/>
  <c r="BN146" i="1"/>
  <c r="BN39" i="1" s="1"/>
  <c r="BN147" i="1"/>
  <c r="BN150" i="1"/>
  <c r="BN58" i="1" s="1"/>
  <c r="BN64" i="1" s="1"/>
  <c r="BN151" i="1"/>
  <c r="BN152" i="1"/>
  <c r="BN153" i="1"/>
  <c r="BN154" i="1"/>
  <c r="BN155" i="1"/>
  <c r="BN130" i="1"/>
  <c r="BN131" i="1"/>
  <c r="BN132" i="1"/>
  <c r="BN133" i="1"/>
  <c r="BM39" i="1"/>
  <c r="BM49" i="1"/>
  <c r="BM47" i="1"/>
  <c r="BM58" i="1"/>
  <c r="BM19" i="1"/>
  <c r="BM20" i="1"/>
  <c r="BL40" i="1"/>
  <c r="AH59" i="1"/>
  <c r="BN38" i="1" l="1"/>
  <c r="BO134" i="1"/>
  <c r="BO136" i="1"/>
  <c r="BO137" i="1"/>
  <c r="BO140" i="1"/>
  <c r="BO144" i="1"/>
  <c r="BO145" i="1"/>
  <c r="BO146" i="1"/>
  <c r="BO147" i="1"/>
  <c r="BO150" i="1"/>
  <c r="BO151" i="1"/>
  <c r="BO152" i="1"/>
  <c r="BO153" i="1"/>
  <c r="BO154" i="1"/>
  <c r="BO155" i="1"/>
  <c r="BP8" i="1"/>
  <c r="BO9" i="1"/>
  <c r="BO10" i="1" s="1"/>
  <c r="BO130" i="1"/>
  <c r="BO131" i="1"/>
  <c r="BO132" i="1"/>
  <c r="BO133" i="1"/>
  <c r="BO24" i="1" s="1"/>
  <c r="BO29" i="1"/>
  <c r="BO128" i="1"/>
  <c r="BO135" i="1"/>
  <c r="BO138" i="1"/>
  <c r="BO139" i="1"/>
  <c r="BO141" i="1"/>
  <c r="BO143" i="1"/>
  <c r="BN47" i="1"/>
  <c r="BN49" i="1"/>
  <c r="BN19" i="1"/>
  <c r="BN20" i="1"/>
  <c r="BN21" i="1"/>
  <c r="BM40" i="1"/>
  <c r="BM48" i="1"/>
  <c r="BM50" i="1"/>
  <c r="BM64" i="1"/>
  <c r="AH60" i="1"/>
  <c r="BN15" i="1"/>
  <c r="BN24" i="1"/>
  <c r="BM22" i="1"/>
  <c r="BN40" i="1" l="1"/>
  <c r="BO39" i="1"/>
  <c r="BO47" i="1"/>
  <c r="BO49" i="1"/>
  <c r="BO58" i="1"/>
  <c r="BO19" i="1"/>
  <c r="BO20" i="1"/>
  <c r="BP29" i="1"/>
  <c r="BP130" i="1"/>
  <c r="BP131" i="1"/>
  <c r="BP132" i="1"/>
  <c r="BP133" i="1"/>
  <c r="BQ8" i="1"/>
  <c r="BP134" i="1"/>
  <c r="BP136" i="1"/>
  <c r="BP137" i="1"/>
  <c r="BP140" i="1"/>
  <c r="BP141" i="1"/>
  <c r="BP38" i="1" s="1"/>
  <c r="BP143" i="1"/>
  <c r="BP9" i="1"/>
  <c r="BP10" i="1" s="1"/>
  <c r="BP128" i="1"/>
  <c r="BP135" i="1"/>
  <c r="BP138" i="1"/>
  <c r="BP139" i="1"/>
  <c r="BP144" i="1"/>
  <c r="BP145" i="1"/>
  <c r="BP146" i="1"/>
  <c r="BP147" i="1"/>
  <c r="BP150" i="1"/>
  <c r="BP151" i="1"/>
  <c r="BP152" i="1"/>
  <c r="BP153" i="1"/>
  <c r="BP154" i="1"/>
  <c r="BP155" i="1"/>
  <c r="BO15" i="1"/>
  <c r="BO21" i="1"/>
  <c r="BN48" i="1"/>
  <c r="BN50" i="1" s="1"/>
  <c r="AH61" i="1"/>
  <c r="AH62" i="1" s="1"/>
  <c r="AI57" i="1" s="1"/>
  <c r="BN22" i="1"/>
  <c r="BO38" i="1"/>
  <c r="BO40" i="1" l="1"/>
  <c r="BO48" i="1"/>
  <c r="BO50" i="1" s="1"/>
  <c r="BO64" i="1"/>
  <c r="BO22" i="1"/>
  <c r="BP21" i="1"/>
  <c r="BP24" i="1"/>
  <c r="BQ9" i="1"/>
  <c r="BQ10" i="1" s="1"/>
  <c r="BQ135" i="1"/>
  <c r="BQ138" i="1"/>
  <c r="BQ139" i="1"/>
  <c r="BQ141" i="1"/>
  <c r="BQ143" i="1"/>
  <c r="BR8" i="1"/>
  <c r="BQ29" i="1"/>
  <c r="BQ128" i="1"/>
  <c r="BQ134" i="1"/>
  <c r="BQ136" i="1"/>
  <c r="BQ137" i="1"/>
  <c r="BQ140" i="1"/>
  <c r="BQ144" i="1"/>
  <c r="BQ145" i="1"/>
  <c r="BQ146" i="1"/>
  <c r="BQ39" i="1" s="1"/>
  <c r="BQ147" i="1"/>
  <c r="BQ150" i="1"/>
  <c r="BQ58" i="1" s="1"/>
  <c r="BQ151" i="1"/>
  <c r="BQ152" i="1"/>
  <c r="BQ153" i="1"/>
  <c r="BQ154" i="1"/>
  <c r="BQ155" i="1"/>
  <c r="BQ130" i="1"/>
  <c r="BQ131" i="1"/>
  <c r="BQ132" i="1"/>
  <c r="BQ133" i="1"/>
  <c r="BP47" i="1"/>
  <c r="BP49" i="1"/>
  <c r="BP19" i="1"/>
  <c r="BP20" i="1"/>
  <c r="AI59" i="1"/>
  <c r="BP15" i="1"/>
  <c r="BP39" i="1"/>
  <c r="BP40" i="1" s="1"/>
  <c r="BP58" i="1"/>
  <c r="BP64" i="1" s="1"/>
  <c r="BQ38" i="1" l="1"/>
  <c r="BR9" i="1"/>
  <c r="BR10" i="1" s="1"/>
  <c r="BR135" i="1"/>
  <c r="BR136" i="1"/>
  <c r="BR137" i="1"/>
  <c r="BR138" i="1"/>
  <c r="BR139" i="1"/>
  <c r="BR144" i="1"/>
  <c r="BR145" i="1"/>
  <c r="BR146" i="1"/>
  <c r="BR147" i="1"/>
  <c r="BR150" i="1"/>
  <c r="BR151" i="1"/>
  <c r="BR152" i="1"/>
  <c r="BR153" i="1"/>
  <c r="BR154" i="1"/>
  <c r="BR155" i="1"/>
  <c r="BS8" i="1"/>
  <c r="BR130" i="1"/>
  <c r="BR15" i="1" s="1"/>
  <c r="BR131" i="1"/>
  <c r="BR132" i="1"/>
  <c r="BR133" i="1"/>
  <c r="BR24" i="1" s="1"/>
  <c r="BR29" i="1"/>
  <c r="BR128" i="1"/>
  <c r="BR134" i="1"/>
  <c r="BR140" i="1"/>
  <c r="BR141" i="1"/>
  <c r="BR143" i="1"/>
  <c r="BQ47" i="1"/>
  <c r="BQ49" i="1"/>
  <c r="BQ19" i="1"/>
  <c r="BQ20" i="1"/>
  <c r="BQ15" i="1"/>
  <c r="BQ21" i="1"/>
  <c r="BP48" i="1"/>
  <c r="BP50" i="1" s="1"/>
  <c r="AI60" i="1"/>
  <c r="BP22" i="1"/>
  <c r="BQ64" i="1"/>
  <c r="BQ24" i="1"/>
  <c r="BQ40" i="1" l="1"/>
  <c r="BR39" i="1"/>
  <c r="BR47" i="1"/>
  <c r="BR49" i="1"/>
  <c r="BR58" i="1"/>
  <c r="BR19" i="1"/>
  <c r="BR20" i="1"/>
  <c r="BS29" i="1"/>
  <c r="BS130" i="1"/>
  <c r="BS131" i="1"/>
  <c r="BS132" i="1"/>
  <c r="BS133" i="1"/>
  <c r="BT8" i="1"/>
  <c r="BS135" i="1"/>
  <c r="BS136" i="1"/>
  <c r="BS139" i="1"/>
  <c r="BS141" i="1"/>
  <c r="BS38" i="1" s="1"/>
  <c r="BS143" i="1"/>
  <c r="BS9" i="1"/>
  <c r="BS10" i="1" s="1"/>
  <c r="BS128" i="1"/>
  <c r="BS134" i="1"/>
  <c r="BS137" i="1"/>
  <c r="BS138" i="1"/>
  <c r="BS140" i="1"/>
  <c r="BS144" i="1"/>
  <c r="BS145" i="1"/>
  <c r="BS146" i="1"/>
  <c r="BS147" i="1"/>
  <c r="BS150" i="1"/>
  <c r="BS151" i="1"/>
  <c r="BS152" i="1"/>
  <c r="BS153" i="1"/>
  <c r="BS154" i="1"/>
  <c r="BS155" i="1"/>
  <c r="BR21" i="1"/>
  <c r="BQ48" i="1"/>
  <c r="BQ50" i="1" s="1"/>
  <c r="BQ22" i="1"/>
  <c r="AI61" i="1"/>
  <c r="AI62" i="1" s="1"/>
  <c r="AJ57" i="1" s="1"/>
  <c r="BR38" i="1"/>
  <c r="BR40" i="1" l="1"/>
  <c r="BR48" i="1"/>
  <c r="BR50" i="1" s="1"/>
  <c r="BR64" i="1"/>
  <c r="BS15" i="1"/>
  <c r="BS21" i="1"/>
  <c r="BS24" i="1"/>
  <c r="BT134" i="1"/>
  <c r="BT138" i="1"/>
  <c r="BT141" i="1"/>
  <c r="BT143" i="1"/>
  <c r="BT29" i="1"/>
  <c r="BT128" i="1"/>
  <c r="BT135" i="1"/>
  <c r="BT136" i="1"/>
  <c r="BT137" i="1"/>
  <c r="BT139" i="1"/>
  <c r="BT140" i="1"/>
  <c r="BT144" i="1"/>
  <c r="BT145" i="1"/>
  <c r="BT146" i="1"/>
  <c r="BT39" i="1" s="1"/>
  <c r="BT147" i="1"/>
  <c r="BT150" i="1"/>
  <c r="BT58" i="1" s="1"/>
  <c r="BT151" i="1"/>
  <c r="BT152" i="1"/>
  <c r="BT153" i="1"/>
  <c r="BT154" i="1"/>
  <c r="BT155" i="1"/>
  <c r="BU8" i="1"/>
  <c r="BT9" i="1"/>
  <c r="BT10" i="1" s="1"/>
  <c r="BT130" i="1"/>
  <c r="BT131" i="1"/>
  <c r="BT132" i="1"/>
  <c r="BT133" i="1"/>
  <c r="BS47" i="1"/>
  <c r="BS49" i="1"/>
  <c r="BS20" i="1"/>
  <c r="BS19" i="1"/>
  <c r="AJ59" i="1"/>
  <c r="BR22" i="1"/>
  <c r="BS39" i="1"/>
  <c r="BS40" i="1" s="1"/>
  <c r="BS58" i="1"/>
  <c r="BS64" i="1" s="1"/>
  <c r="BT38" i="1" l="1"/>
  <c r="BT49" i="1"/>
  <c r="BT47" i="1"/>
  <c r="BT19" i="1"/>
  <c r="BT20" i="1"/>
  <c r="BU130" i="1"/>
  <c r="BU131" i="1"/>
  <c r="BU132" i="1"/>
  <c r="BU133" i="1"/>
  <c r="BU24" i="1" s="1"/>
  <c r="BU9" i="1"/>
  <c r="BU10" i="1" s="1"/>
  <c r="BU29" i="1"/>
  <c r="BU128" i="1"/>
  <c r="BU136" i="1"/>
  <c r="BU139" i="1"/>
  <c r="BU140" i="1"/>
  <c r="BU141" i="1"/>
  <c r="BU143" i="1"/>
  <c r="BV8" i="1"/>
  <c r="BU134" i="1"/>
  <c r="BU135" i="1"/>
  <c r="BU137" i="1"/>
  <c r="BU138" i="1"/>
  <c r="BU144" i="1"/>
  <c r="BU145" i="1"/>
  <c r="BU146" i="1"/>
  <c r="BU147" i="1"/>
  <c r="BU150" i="1"/>
  <c r="BU151" i="1"/>
  <c r="BU152" i="1"/>
  <c r="BU153" i="1"/>
  <c r="BU154" i="1"/>
  <c r="BU155" i="1"/>
  <c r="BT21" i="1"/>
  <c r="BS48" i="1"/>
  <c r="BS50" i="1" s="1"/>
  <c r="BS22" i="1"/>
  <c r="AJ60" i="1"/>
  <c r="BT15" i="1"/>
  <c r="BT64" i="1"/>
  <c r="BT24" i="1"/>
  <c r="BT40" i="1" l="1"/>
  <c r="BT48" i="1"/>
  <c r="BT50" i="1" s="1"/>
  <c r="BU15" i="1"/>
  <c r="BU21" i="1"/>
  <c r="BV29" i="1"/>
  <c r="BV128" i="1"/>
  <c r="BV136" i="1"/>
  <c r="BV137" i="1"/>
  <c r="BV138" i="1"/>
  <c r="BV139" i="1"/>
  <c r="BV140" i="1"/>
  <c r="BV144" i="1"/>
  <c r="BV145" i="1"/>
  <c r="BV146" i="1"/>
  <c r="BV147" i="1"/>
  <c r="BV150" i="1"/>
  <c r="BV58" i="1" s="1"/>
  <c r="BV64" i="1" s="1"/>
  <c r="BV151" i="1"/>
  <c r="BV152" i="1"/>
  <c r="BV153" i="1"/>
  <c r="BV154" i="1"/>
  <c r="BV155" i="1"/>
  <c r="BV9" i="1"/>
  <c r="BV10" i="1" s="1"/>
  <c r="BV130" i="1"/>
  <c r="BV131" i="1"/>
  <c r="BV132" i="1"/>
  <c r="BV133" i="1"/>
  <c r="BW8" i="1"/>
  <c r="BV134" i="1"/>
  <c r="BV135" i="1"/>
  <c r="BV141" i="1"/>
  <c r="BV143" i="1"/>
  <c r="BU39" i="1"/>
  <c r="BU49" i="1"/>
  <c r="BU47" i="1"/>
  <c r="BU58" i="1"/>
  <c r="BU19" i="1"/>
  <c r="BU20" i="1"/>
  <c r="AJ61" i="1"/>
  <c r="AJ62" i="1" s="1"/>
  <c r="AK57" i="1" s="1"/>
  <c r="BT22" i="1"/>
  <c r="BU38" i="1"/>
  <c r="BV47" i="1" l="1"/>
  <c r="BV49" i="1"/>
  <c r="BV19" i="1"/>
  <c r="BV20" i="1"/>
  <c r="BV21" i="1"/>
  <c r="BV24" i="1"/>
  <c r="BW128" i="1"/>
  <c r="BW136" i="1"/>
  <c r="BW141" i="1"/>
  <c r="BW38" i="1" s="1"/>
  <c r="BW143" i="1"/>
  <c r="BW9" i="1"/>
  <c r="BW10" i="1" s="1"/>
  <c r="BW134" i="1"/>
  <c r="BW135" i="1"/>
  <c r="BW137" i="1"/>
  <c r="BW138" i="1"/>
  <c r="BW139" i="1"/>
  <c r="BW140" i="1"/>
  <c r="BW144" i="1"/>
  <c r="BW145" i="1"/>
  <c r="BW146" i="1"/>
  <c r="BW39" i="1" s="1"/>
  <c r="BW147" i="1"/>
  <c r="BW150" i="1"/>
  <c r="BW151" i="1"/>
  <c r="BW152" i="1"/>
  <c r="BW153" i="1"/>
  <c r="BW154" i="1"/>
  <c r="BW155" i="1"/>
  <c r="BX8" i="1"/>
  <c r="BW29" i="1"/>
  <c r="BW130" i="1"/>
  <c r="BW131" i="1"/>
  <c r="BW132" i="1"/>
  <c r="BW133" i="1"/>
  <c r="BU40" i="1"/>
  <c r="BU48" i="1"/>
  <c r="BU50" i="1"/>
  <c r="BU64" i="1"/>
  <c r="BU22" i="1"/>
  <c r="AK59" i="1"/>
  <c r="BV39" i="1"/>
  <c r="BV15" i="1"/>
  <c r="BV38" i="1"/>
  <c r="BW40" i="1" l="1"/>
  <c r="BV48" i="1"/>
  <c r="BV50" i="1" s="1"/>
  <c r="BW49" i="1"/>
  <c r="BW47" i="1"/>
  <c r="BW58" i="1"/>
  <c r="BW20" i="1"/>
  <c r="BW19" i="1"/>
  <c r="BX130" i="1"/>
  <c r="BX131" i="1"/>
  <c r="BX132" i="1"/>
  <c r="BX133" i="1"/>
  <c r="BX24" i="1" s="1"/>
  <c r="BX9" i="1"/>
  <c r="BX10" i="1" s="1"/>
  <c r="BX29" i="1"/>
  <c r="BX138" i="1"/>
  <c r="BX139" i="1"/>
  <c r="BX140" i="1"/>
  <c r="BX141" i="1"/>
  <c r="BX143" i="1"/>
  <c r="BY8" i="1"/>
  <c r="BX128" i="1"/>
  <c r="BX134" i="1"/>
  <c r="BX135" i="1"/>
  <c r="BX136" i="1"/>
  <c r="BX137" i="1"/>
  <c r="BX144" i="1"/>
  <c r="BX145" i="1"/>
  <c r="BX146" i="1"/>
  <c r="BX147" i="1"/>
  <c r="BX150" i="1"/>
  <c r="BX151" i="1"/>
  <c r="BX152" i="1"/>
  <c r="BX153" i="1"/>
  <c r="BX154" i="1"/>
  <c r="BX155" i="1"/>
  <c r="BW21" i="1"/>
  <c r="AK60" i="1"/>
  <c r="BV40" i="1"/>
  <c r="BV22" i="1"/>
  <c r="BW15" i="1"/>
  <c r="BW24" i="1"/>
  <c r="BW48" i="1" l="1"/>
  <c r="BW50" i="1" s="1"/>
  <c r="BW64" i="1"/>
  <c r="BW22" i="1"/>
  <c r="BX15" i="1"/>
  <c r="BX21" i="1"/>
  <c r="BX38" i="1"/>
  <c r="BY29" i="1"/>
  <c r="BY128" i="1"/>
  <c r="BY137" i="1"/>
  <c r="BY138" i="1"/>
  <c r="BY139" i="1"/>
  <c r="BY140" i="1"/>
  <c r="BY144" i="1"/>
  <c r="BY145" i="1"/>
  <c r="BY146" i="1"/>
  <c r="BY39" i="1" s="1"/>
  <c r="BY147" i="1"/>
  <c r="BY150" i="1"/>
  <c r="BY151" i="1"/>
  <c r="BY152" i="1"/>
  <c r="BY153" i="1"/>
  <c r="BY154" i="1"/>
  <c r="BY155" i="1"/>
  <c r="BZ8" i="1"/>
  <c r="BY9" i="1"/>
  <c r="BY10" i="1" s="1"/>
  <c r="BY130" i="1"/>
  <c r="BY131" i="1"/>
  <c r="BY132" i="1"/>
  <c r="BY133" i="1"/>
  <c r="BY134" i="1"/>
  <c r="BY135" i="1"/>
  <c r="BY136" i="1"/>
  <c r="BY141" i="1"/>
  <c r="BY143" i="1"/>
  <c r="BX39" i="1"/>
  <c r="BX49" i="1"/>
  <c r="BX47" i="1"/>
  <c r="BX19" i="1"/>
  <c r="BX20" i="1"/>
  <c r="AK61" i="1"/>
  <c r="AK62" i="1" s="1"/>
  <c r="AL57" i="1" s="1"/>
  <c r="BX58" i="1"/>
  <c r="BX64" i="1" s="1"/>
  <c r="BX40" i="1" l="1"/>
  <c r="BY47" i="1"/>
  <c r="BY49" i="1"/>
  <c r="BY20" i="1"/>
  <c r="BY19" i="1"/>
  <c r="BZ9" i="1"/>
  <c r="BZ10" i="1" s="1"/>
  <c r="BZ130" i="1"/>
  <c r="BZ131" i="1"/>
  <c r="BZ132" i="1"/>
  <c r="BZ133" i="1"/>
  <c r="BZ24" i="1" s="1"/>
  <c r="BZ128" i="1"/>
  <c r="BZ139" i="1"/>
  <c r="BZ141" i="1"/>
  <c r="BZ38" i="1" s="1"/>
  <c r="BZ143" i="1"/>
  <c r="CA8" i="1"/>
  <c r="BZ29" i="1"/>
  <c r="BZ134" i="1"/>
  <c r="BZ135" i="1"/>
  <c r="BZ136" i="1"/>
  <c r="BZ137" i="1"/>
  <c r="BZ138" i="1"/>
  <c r="BZ140" i="1"/>
  <c r="BZ144" i="1"/>
  <c r="BZ145" i="1"/>
  <c r="BZ146" i="1"/>
  <c r="BZ147" i="1"/>
  <c r="BZ150" i="1"/>
  <c r="BZ58" i="1" s="1"/>
  <c r="BZ64" i="1" s="1"/>
  <c r="BZ151" i="1"/>
  <c r="BZ152" i="1"/>
  <c r="BZ153" i="1"/>
  <c r="BZ154" i="1"/>
  <c r="BZ155" i="1"/>
  <c r="BY21" i="1"/>
  <c r="BY24" i="1"/>
  <c r="BX48" i="1"/>
  <c r="BX50" i="1" s="1"/>
  <c r="AL59" i="1"/>
  <c r="BY15" i="1"/>
  <c r="BX22" i="1"/>
  <c r="BY58" i="1"/>
  <c r="BY38" i="1"/>
  <c r="BY40" i="1" s="1"/>
  <c r="BY48" i="1" l="1"/>
  <c r="BY50" i="1" s="1"/>
  <c r="BY22" i="1"/>
  <c r="BZ15" i="1"/>
  <c r="BZ21" i="1"/>
  <c r="CA9" i="1"/>
  <c r="CA10" i="1" s="1"/>
  <c r="CA128" i="1"/>
  <c r="CA134" i="1"/>
  <c r="CA136" i="1"/>
  <c r="CA137" i="1"/>
  <c r="CA138" i="1"/>
  <c r="CA139" i="1"/>
  <c r="CA144" i="1"/>
  <c r="CA145" i="1"/>
  <c r="CA146" i="1"/>
  <c r="CA39" i="1" s="1"/>
  <c r="CA147" i="1"/>
  <c r="CA150" i="1"/>
  <c r="CA151" i="1"/>
  <c r="CA152" i="1"/>
  <c r="CA153" i="1"/>
  <c r="CA154" i="1"/>
  <c r="CA155" i="1"/>
  <c r="CA29" i="1"/>
  <c r="CA130" i="1"/>
  <c r="CA131" i="1"/>
  <c r="CA132" i="1"/>
  <c r="CA133" i="1"/>
  <c r="CB8" i="1"/>
  <c r="CA135" i="1"/>
  <c r="CA140" i="1"/>
  <c r="CA141" i="1"/>
  <c r="CA143" i="1"/>
  <c r="BZ39" i="1"/>
  <c r="BZ47" i="1"/>
  <c r="BZ49" i="1"/>
  <c r="BZ19" i="1"/>
  <c r="BZ20" i="1"/>
  <c r="AL60" i="1"/>
  <c r="BY64" i="1"/>
  <c r="CA47" i="1" l="1"/>
  <c r="CA49" i="1"/>
  <c r="CA58" i="1"/>
  <c r="CA20" i="1"/>
  <c r="CA19" i="1"/>
  <c r="CA21" i="1"/>
  <c r="CA24" i="1"/>
  <c r="CB9" i="1"/>
  <c r="CB10" i="1" s="1"/>
  <c r="CB134" i="1"/>
  <c r="CB136" i="1"/>
  <c r="CB138" i="1"/>
  <c r="CB139" i="1"/>
  <c r="CB141" i="1"/>
  <c r="CB38" i="1" s="1"/>
  <c r="CB143" i="1"/>
  <c r="CB29" i="1"/>
  <c r="CB128" i="1"/>
  <c r="CB135" i="1"/>
  <c r="CB137" i="1"/>
  <c r="CB140" i="1"/>
  <c r="CB144" i="1"/>
  <c r="CB145" i="1"/>
  <c r="CB146" i="1"/>
  <c r="CB147" i="1"/>
  <c r="CB150" i="1"/>
  <c r="CB151" i="1"/>
  <c r="CB152" i="1"/>
  <c r="CB153" i="1"/>
  <c r="CB154" i="1"/>
  <c r="CB155" i="1"/>
  <c r="CC8" i="1"/>
  <c r="CB130" i="1"/>
  <c r="CB131" i="1"/>
  <c r="CB132" i="1"/>
  <c r="CB133" i="1"/>
  <c r="CA38" i="1"/>
  <c r="BZ40" i="1"/>
  <c r="BZ48" i="1"/>
  <c r="BZ50" i="1" s="1"/>
  <c r="AL61" i="1"/>
  <c r="AL62" i="1" s="1"/>
  <c r="AM57" i="1" s="1"/>
  <c r="BZ22" i="1"/>
  <c r="CA15" i="1"/>
  <c r="CA48" i="1" l="1"/>
  <c r="CA50" i="1" s="1"/>
  <c r="CA64" i="1"/>
  <c r="CA22" i="1"/>
  <c r="CB39" i="1"/>
  <c r="CB49" i="1"/>
  <c r="CB47" i="1"/>
  <c r="CB19" i="1"/>
  <c r="CB20" i="1"/>
  <c r="CD8" i="1"/>
  <c r="CC9" i="1"/>
  <c r="CC10" i="1" s="1"/>
  <c r="CC130" i="1"/>
  <c r="CC131" i="1"/>
  <c r="CC132" i="1"/>
  <c r="CC133" i="1"/>
  <c r="CC24" i="1" s="1"/>
  <c r="CC29" i="1"/>
  <c r="CC128" i="1"/>
  <c r="CC135" i="1"/>
  <c r="CC140" i="1"/>
  <c r="CC141" i="1"/>
  <c r="CC143" i="1"/>
  <c r="CC134" i="1"/>
  <c r="CC136" i="1"/>
  <c r="CC137" i="1"/>
  <c r="CC138" i="1"/>
  <c r="CC139" i="1"/>
  <c r="CC144" i="1"/>
  <c r="CC145" i="1"/>
  <c r="CC146" i="1"/>
  <c r="CC147" i="1"/>
  <c r="CC150" i="1"/>
  <c r="CC58" i="1" s="1"/>
  <c r="CC151" i="1"/>
  <c r="CC152" i="1"/>
  <c r="CC153" i="1"/>
  <c r="CC154" i="1"/>
  <c r="CC155" i="1"/>
  <c r="CB21" i="1"/>
  <c r="CA40" i="1"/>
  <c r="AM59" i="1"/>
  <c r="CB15" i="1"/>
  <c r="CB58" i="1"/>
  <c r="CB64" i="1" s="1"/>
  <c r="CB24" i="1"/>
  <c r="CB40" i="1" l="1"/>
  <c r="CB48" i="1"/>
  <c r="CB50" i="1"/>
  <c r="CD130" i="1"/>
  <c r="CD131" i="1"/>
  <c r="CD132" i="1"/>
  <c r="CD133" i="1"/>
  <c r="CD134" i="1"/>
  <c r="CD139" i="1"/>
  <c r="CD141" i="1"/>
  <c r="CD38" i="1" s="1"/>
  <c r="CD143" i="1"/>
  <c r="CE8" i="1"/>
  <c r="CD9" i="1"/>
  <c r="CD10" i="1" s="1"/>
  <c r="CD29" i="1"/>
  <c r="CD128" i="1"/>
  <c r="CD135" i="1"/>
  <c r="CD136" i="1"/>
  <c r="CD137" i="1"/>
  <c r="CD138" i="1"/>
  <c r="CD140" i="1"/>
  <c r="CD144" i="1"/>
  <c r="CD145" i="1"/>
  <c r="CD146" i="1"/>
  <c r="CD39" i="1" s="1"/>
  <c r="CD147" i="1"/>
  <c r="CD150" i="1"/>
  <c r="CD151" i="1"/>
  <c r="CD152" i="1"/>
  <c r="CD153" i="1"/>
  <c r="CD154" i="1"/>
  <c r="CD155" i="1"/>
  <c r="CC15" i="1"/>
  <c r="CC21" i="1"/>
  <c r="CC38" i="1"/>
  <c r="CC47" i="1"/>
  <c r="CC49" i="1"/>
  <c r="CC20" i="1"/>
  <c r="CC19" i="1"/>
  <c r="AM60" i="1"/>
  <c r="CB22" i="1"/>
  <c r="CC39" i="1"/>
  <c r="CC64" i="1"/>
  <c r="CD21" i="1" l="1"/>
  <c r="CD24" i="1"/>
  <c r="CE128" i="1"/>
  <c r="CE134" i="1"/>
  <c r="CE137" i="1"/>
  <c r="CE139" i="1"/>
  <c r="CE144" i="1"/>
  <c r="CE145" i="1"/>
  <c r="CE146" i="1"/>
  <c r="CE147" i="1"/>
  <c r="CE150" i="1"/>
  <c r="CE58" i="1" s="1"/>
  <c r="CE64" i="1" s="1"/>
  <c r="CE151" i="1"/>
  <c r="CE152" i="1"/>
  <c r="CE153" i="1"/>
  <c r="CE154" i="1"/>
  <c r="CE155" i="1"/>
  <c r="CE9" i="1"/>
  <c r="CE10" i="1" s="1"/>
  <c r="CE29" i="1"/>
  <c r="CE130" i="1"/>
  <c r="CE131" i="1"/>
  <c r="CE132" i="1"/>
  <c r="CE133" i="1"/>
  <c r="CF8" i="1"/>
  <c r="CE135" i="1"/>
  <c r="CE136" i="1"/>
  <c r="CE138" i="1"/>
  <c r="CE140" i="1"/>
  <c r="CE141" i="1"/>
  <c r="CE143" i="1"/>
  <c r="CD47" i="1"/>
  <c r="CD49" i="1"/>
  <c r="CD58" i="1"/>
  <c r="CD20" i="1"/>
  <c r="CD19" i="1"/>
  <c r="CD22" i="1" s="1"/>
  <c r="CC40" i="1"/>
  <c r="CC48" i="1"/>
  <c r="CC50" i="1" s="1"/>
  <c r="CC22" i="1"/>
  <c r="AM61" i="1"/>
  <c r="AM62" i="1" s="1"/>
  <c r="AN57" i="1" s="1"/>
  <c r="CD15" i="1"/>
  <c r="CD40" i="1"/>
  <c r="CE39" i="1" l="1"/>
  <c r="CE49" i="1"/>
  <c r="CE47" i="1"/>
  <c r="CE19" i="1"/>
  <c r="CE20" i="1"/>
  <c r="CE15" i="1"/>
  <c r="CE21" i="1"/>
  <c r="CF134" i="1"/>
  <c r="CF141" i="1"/>
  <c r="CF38" i="1" s="1"/>
  <c r="CF143" i="1"/>
  <c r="CF9" i="1"/>
  <c r="CF10" i="1" s="1"/>
  <c r="CF29" i="1"/>
  <c r="CF128" i="1"/>
  <c r="CF135" i="1"/>
  <c r="CF136" i="1"/>
  <c r="CF137" i="1"/>
  <c r="CF138" i="1"/>
  <c r="CF139" i="1"/>
  <c r="CF140" i="1"/>
  <c r="CF144" i="1"/>
  <c r="CF145" i="1"/>
  <c r="CF146" i="1"/>
  <c r="CF147" i="1"/>
  <c r="CF150" i="1"/>
  <c r="CF151" i="1"/>
  <c r="CF152" i="1"/>
  <c r="CF153" i="1"/>
  <c r="CF154" i="1"/>
  <c r="CF155" i="1"/>
  <c r="CG8" i="1"/>
  <c r="CF130" i="1"/>
  <c r="CF131" i="1"/>
  <c r="CF132" i="1"/>
  <c r="CF133" i="1"/>
  <c r="CF24" i="1" s="1"/>
  <c r="CE38" i="1"/>
  <c r="CD48" i="1"/>
  <c r="CD50" i="1" s="1"/>
  <c r="CD64" i="1"/>
  <c r="AN59" i="1"/>
  <c r="CE24" i="1"/>
  <c r="CE48" i="1" l="1"/>
  <c r="CE50" i="1" s="1"/>
  <c r="CE22" i="1"/>
  <c r="CF47" i="1"/>
  <c r="CF49" i="1"/>
  <c r="CF58" i="1"/>
  <c r="CF20" i="1"/>
  <c r="CF19" i="1"/>
  <c r="CG29" i="1"/>
  <c r="CG130" i="1"/>
  <c r="CG131" i="1"/>
  <c r="CG132" i="1"/>
  <c r="CG133" i="1"/>
  <c r="CG9" i="1"/>
  <c r="CG10" i="1" s="1"/>
  <c r="CG128" i="1"/>
  <c r="CG136" i="1"/>
  <c r="CG139" i="1"/>
  <c r="CG141" i="1"/>
  <c r="CG143" i="1"/>
  <c r="CH8" i="1"/>
  <c r="CG134" i="1"/>
  <c r="CG135" i="1"/>
  <c r="CG137" i="1"/>
  <c r="CG138" i="1"/>
  <c r="CG140" i="1"/>
  <c r="CG144" i="1"/>
  <c r="CG145" i="1"/>
  <c r="CG146" i="1"/>
  <c r="CG147" i="1"/>
  <c r="CG150" i="1"/>
  <c r="CG58" i="1" s="1"/>
  <c r="CG64" i="1" s="1"/>
  <c r="CG151" i="1"/>
  <c r="CG152" i="1"/>
  <c r="CG153" i="1"/>
  <c r="CG154" i="1"/>
  <c r="CG155" i="1"/>
  <c r="CF21" i="1"/>
  <c r="CE40" i="1"/>
  <c r="AN60" i="1"/>
  <c r="CF15" i="1"/>
  <c r="CF39" i="1"/>
  <c r="CF48" i="1" l="1"/>
  <c r="CF50" i="1" s="1"/>
  <c r="CF64" i="1"/>
  <c r="CG15" i="1"/>
  <c r="CG21" i="1"/>
  <c r="CG24" i="1"/>
  <c r="CG38" i="1"/>
  <c r="CH9" i="1"/>
  <c r="CH10" i="1" s="1"/>
  <c r="CH128" i="1"/>
  <c r="CH136" i="1"/>
  <c r="CH137" i="1"/>
  <c r="CH139" i="1"/>
  <c r="CH144" i="1"/>
  <c r="CH145" i="1"/>
  <c r="CH146" i="1"/>
  <c r="CH147" i="1"/>
  <c r="CH150" i="1"/>
  <c r="CH151" i="1"/>
  <c r="CH152" i="1"/>
  <c r="CH153" i="1"/>
  <c r="CH154" i="1"/>
  <c r="CH155" i="1"/>
  <c r="CI8" i="1"/>
  <c r="CH130" i="1"/>
  <c r="CH131" i="1"/>
  <c r="CH132" i="1"/>
  <c r="CH133" i="1"/>
  <c r="CH29" i="1"/>
  <c r="CH134" i="1"/>
  <c r="CH135" i="1"/>
  <c r="CH138" i="1"/>
  <c r="CH140" i="1"/>
  <c r="CH141" i="1"/>
  <c r="CH143" i="1"/>
  <c r="CG49" i="1"/>
  <c r="CG47" i="1"/>
  <c r="CG19" i="1"/>
  <c r="CG20" i="1"/>
  <c r="AN61" i="1"/>
  <c r="AN62" i="1" s="1"/>
  <c r="AO57" i="1" s="1"/>
  <c r="CF40" i="1"/>
  <c r="CF22" i="1"/>
  <c r="CG39" i="1"/>
  <c r="CG40" i="1" l="1"/>
  <c r="CH47" i="1"/>
  <c r="CH49" i="1"/>
  <c r="CH58" i="1"/>
  <c r="CH19" i="1"/>
  <c r="CH20" i="1"/>
  <c r="CI130" i="1"/>
  <c r="CI131" i="1"/>
  <c r="CI132" i="1"/>
  <c r="CI133" i="1"/>
  <c r="CI24" i="1" s="1"/>
  <c r="CJ8" i="1"/>
  <c r="CI9" i="1"/>
  <c r="CI10" i="1" s="1"/>
  <c r="CI128" i="1"/>
  <c r="CI136" i="1"/>
  <c r="CI141" i="1"/>
  <c r="CI38" i="1" s="1"/>
  <c r="CI143" i="1"/>
  <c r="CI29" i="1"/>
  <c r="CI134" i="1"/>
  <c r="CI135" i="1"/>
  <c r="CI137" i="1"/>
  <c r="CI138" i="1"/>
  <c r="CI139" i="1"/>
  <c r="CI140" i="1"/>
  <c r="CI144" i="1"/>
  <c r="CI145" i="1"/>
  <c r="CI146" i="1"/>
  <c r="CI39" i="1" s="1"/>
  <c r="CI147" i="1"/>
  <c r="CI150" i="1"/>
  <c r="CI151" i="1"/>
  <c r="CI152" i="1"/>
  <c r="CI153" i="1"/>
  <c r="CI154" i="1"/>
  <c r="CI155" i="1"/>
  <c r="CH21" i="1"/>
  <c r="CG48" i="1"/>
  <c r="CG50" i="1" s="1"/>
  <c r="AO59" i="1"/>
  <c r="CH15" i="1"/>
  <c r="CH39" i="1"/>
  <c r="CH24" i="1"/>
  <c r="CH38" i="1"/>
  <c r="CH40" i="1" s="1"/>
  <c r="CG22" i="1"/>
  <c r="CH48" i="1" l="1"/>
  <c r="CH50" i="1" s="1"/>
  <c r="CH64" i="1"/>
  <c r="CI15" i="1"/>
  <c r="CI21" i="1"/>
  <c r="CJ29" i="1"/>
  <c r="CJ138" i="1"/>
  <c r="CJ139" i="1"/>
  <c r="CJ140" i="1"/>
  <c r="CJ141" i="1"/>
  <c r="CJ143" i="1"/>
  <c r="CK8" i="1"/>
  <c r="CJ9" i="1"/>
  <c r="CJ10" i="1" s="1"/>
  <c r="CJ128" i="1"/>
  <c r="CJ134" i="1"/>
  <c r="CJ135" i="1"/>
  <c r="CJ136" i="1"/>
  <c r="CJ137" i="1"/>
  <c r="CJ144" i="1"/>
  <c r="CJ145" i="1"/>
  <c r="CJ146" i="1"/>
  <c r="CJ147" i="1"/>
  <c r="CJ150" i="1"/>
  <c r="CJ58" i="1" s="1"/>
  <c r="CJ151" i="1"/>
  <c r="CJ152" i="1"/>
  <c r="CJ153" i="1"/>
  <c r="CJ154" i="1"/>
  <c r="CJ155" i="1"/>
  <c r="CJ130" i="1"/>
  <c r="CJ131" i="1"/>
  <c r="CJ132" i="1"/>
  <c r="CJ133" i="1"/>
  <c r="CI49" i="1"/>
  <c r="CI47" i="1"/>
  <c r="CI20" i="1"/>
  <c r="CI19" i="1"/>
  <c r="AO60" i="1"/>
  <c r="CI40" i="1"/>
  <c r="CH22" i="1"/>
  <c r="CI58" i="1"/>
  <c r="CI64" i="1" s="1"/>
  <c r="CJ38" i="1" l="1"/>
  <c r="CK128" i="1"/>
  <c r="CK137" i="1"/>
  <c r="CK138" i="1"/>
  <c r="CK139" i="1"/>
  <c r="CK140" i="1"/>
  <c r="CK144" i="1"/>
  <c r="CK145" i="1"/>
  <c r="CK146" i="1"/>
  <c r="CK39" i="1" s="1"/>
  <c r="CK147" i="1"/>
  <c r="CK150" i="1"/>
  <c r="CK151" i="1"/>
  <c r="CK152" i="1"/>
  <c r="CK153" i="1"/>
  <c r="CK154" i="1"/>
  <c r="CK155" i="1"/>
  <c r="CL8" i="1"/>
  <c r="CK29" i="1"/>
  <c r="CK130" i="1"/>
  <c r="CK131" i="1"/>
  <c r="CK132" i="1"/>
  <c r="CK133" i="1"/>
  <c r="CK24" i="1" s="1"/>
  <c r="CK9" i="1"/>
  <c r="CK10" i="1" s="1"/>
  <c r="CK134" i="1"/>
  <c r="CK135" i="1"/>
  <c r="CK136" i="1"/>
  <c r="CK141" i="1"/>
  <c r="CK143" i="1"/>
  <c r="CJ39" i="1"/>
  <c r="CJ47" i="1"/>
  <c r="CJ49" i="1"/>
  <c r="CJ19" i="1"/>
  <c r="CJ20" i="1"/>
  <c r="CJ21" i="1"/>
  <c r="CJ24" i="1"/>
  <c r="CI48" i="1"/>
  <c r="CI50" i="1" s="1"/>
  <c r="CI22" i="1"/>
  <c r="AO61" i="1"/>
  <c r="AO62" i="1" s="1"/>
  <c r="AP57" i="1" s="1"/>
  <c r="CJ15" i="1"/>
  <c r="CJ64" i="1"/>
  <c r="CJ40" i="1" l="1"/>
  <c r="CK47" i="1"/>
  <c r="CK49" i="1"/>
  <c r="CK58" i="1"/>
  <c r="CK19" i="1"/>
  <c r="CK20" i="1"/>
  <c r="CL130" i="1"/>
  <c r="CL15" i="1" s="1"/>
  <c r="CL131" i="1"/>
  <c r="CL132" i="1"/>
  <c r="CL133" i="1"/>
  <c r="CL128" i="1"/>
  <c r="CL139" i="1"/>
  <c r="CL141" i="1"/>
  <c r="CL143" i="1"/>
  <c r="CM8" i="1"/>
  <c r="CL9" i="1"/>
  <c r="CL10" i="1" s="1"/>
  <c r="CL29" i="1"/>
  <c r="CL134" i="1"/>
  <c r="CL135" i="1"/>
  <c r="CL136" i="1"/>
  <c r="CL137" i="1"/>
  <c r="CL138" i="1"/>
  <c r="CL140" i="1"/>
  <c r="CL144" i="1"/>
  <c r="CL145" i="1"/>
  <c r="CL146" i="1"/>
  <c r="CL147" i="1"/>
  <c r="CL150" i="1"/>
  <c r="CL151" i="1"/>
  <c r="CL152" i="1"/>
  <c r="CL153" i="1"/>
  <c r="CL154" i="1"/>
  <c r="CL155" i="1"/>
  <c r="CK15" i="1"/>
  <c r="CK21" i="1"/>
  <c r="CJ48" i="1"/>
  <c r="CJ50" i="1" s="1"/>
  <c r="AP59" i="1"/>
  <c r="CJ22" i="1"/>
  <c r="CK38" i="1"/>
  <c r="CK40" i="1" s="1"/>
  <c r="CK48" i="1" l="1"/>
  <c r="CK50" i="1" s="1"/>
  <c r="CK64" i="1"/>
  <c r="CK22" i="1"/>
  <c r="CL21" i="1"/>
  <c r="CL24" i="1"/>
  <c r="CM128" i="1"/>
  <c r="CM135" i="1"/>
  <c r="CM137" i="1"/>
  <c r="CM139" i="1"/>
  <c r="CM144" i="1"/>
  <c r="CM145" i="1"/>
  <c r="CM146" i="1"/>
  <c r="CM147" i="1"/>
  <c r="CM150" i="1"/>
  <c r="CM58" i="1" s="1"/>
  <c r="CM151" i="1"/>
  <c r="CM152" i="1"/>
  <c r="CM153" i="1"/>
  <c r="CM154" i="1"/>
  <c r="CM155" i="1"/>
  <c r="CM9" i="1"/>
  <c r="CM10" i="1" s="1"/>
  <c r="CM29" i="1"/>
  <c r="CM130" i="1"/>
  <c r="CM131" i="1"/>
  <c r="CM132" i="1"/>
  <c r="CM133" i="1"/>
  <c r="CN8" i="1"/>
  <c r="CM134" i="1"/>
  <c r="CM136" i="1"/>
  <c r="CM138" i="1"/>
  <c r="CM140" i="1"/>
  <c r="CM141" i="1"/>
  <c r="CM38" i="1" s="1"/>
  <c r="CM143" i="1"/>
  <c r="CL39" i="1"/>
  <c r="CL49" i="1"/>
  <c r="CL47" i="1"/>
  <c r="CL20" i="1"/>
  <c r="CL19" i="1"/>
  <c r="AP60" i="1"/>
  <c r="CL38" i="1"/>
  <c r="CL58" i="1"/>
  <c r="CL64" i="1" s="1"/>
  <c r="CM47" i="1" l="1"/>
  <c r="CM49" i="1"/>
  <c r="CM19" i="1"/>
  <c r="CM20" i="1"/>
  <c r="CM15" i="1"/>
  <c r="CM21" i="1"/>
  <c r="CN29" i="1"/>
  <c r="CN139" i="1"/>
  <c r="CN141" i="1"/>
  <c r="CN143" i="1"/>
  <c r="CN128" i="1"/>
  <c r="CN134" i="1"/>
  <c r="CN135" i="1"/>
  <c r="CN136" i="1"/>
  <c r="CN137" i="1"/>
  <c r="CN138" i="1"/>
  <c r="CN140" i="1"/>
  <c r="CN144" i="1"/>
  <c r="CN145" i="1"/>
  <c r="CN146" i="1"/>
  <c r="CN147" i="1"/>
  <c r="CN150" i="1"/>
  <c r="CN151" i="1"/>
  <c r="CN152" i="1"/>
  <c r="CN153" i="1"/>
  <c r="CN154" i="1"/>
  <c r="CN155" i="1"/>
  <c r="CO8" i="1"/>
  <c r="CN9" i="1"/>
  <c r="CN10" i="1" s="1"/>
  <c r="CN130" i="1"/>
  <c r="CN131" i="1"/>
  <c r="CN132" i="1"/>
  <c r="CN133" i="1"/>
  <c r="CL40" i="1"/>
  <c r="CL48" i="1"/>
  <c r="CL50" i="1" s="1"/>
  <c r="AP61" i="1"/>
  <c r="AP62" i="1" s="1"/>
  <c r="AQ57" i="1" s="1"/>
  <c r="CM39" i="1"/>
  <c r="CM40" i="1" s="1"/>
  <c r="CM64" i="1"/>
  <c r="CM24" i="1"/>
  <c r="CL22" i="1"/>
  <c r="CM48" i="1" l="1"/>
  <c r="CM50" i="1" s="1"/>
  <c r="CN38" i="1"/>
  <c r="CN47" i="1"/>
  <c r="CN49" i="1"/>
  <c r="CN58" i="1"/>
  <c r="CN20" i="1"/>
  <c r="CN19" i="1"/>
  <c r="CO9" i="1"/>
  <c r="CO10" i="1" s="1"/>
  <c r="CO130" i="1"/>
  <c r="CO131" i="1"/>
  <c r="CO132" i="1"/>
  <c r="CO133" i="1"/>
  <c r="CO24" i="1" s="1"/>
  <c r="CO128" i="1"/>
  <c r="CO135" i="1"/>
  <c r="CO136" i="1"/>
  <c r="CO141" i="1"/>
  <c r="CO143" i="1"/>
  <c r="CP8" i="1"/>
  <c r="CO29" i="1"/>
  <c r="CO134" i="1"/>
  <c r="CO137" i="1"/>
  <c r="CO138" i="1"/>
  <c r="CO139" i="1"/>
  <c r="CO140" i="1"/>
  <c r="CO144" i="1"/>
  <c r="CO145" i="1"/>
  <c r="CO146" i="1"/>
  <c r="CO39" i="1" s="1"/>
  <c r="CO147" i="1"/>
  <c r="CO150" i="1"/>
  <c r="CO58" i="1" s="1"/>
  <c r="CO64" i="1" s="1"/>
  <c r="CO151" i="1"/>
  <c r="CO152" i="1"/>
  <c r="CO153" i="1"/>
  <c r="CO154" i="1"/>
  <c r="CO155" i="1"/>
  <c r="CN21" i="1"/>
  <c r="AQ59" i="1"/>
  <c r="CM22" i="1"/>
  <c r="CN39" i="1"/>
  <c r="CN15" i="1"/>
  <c r="CN24" i="1"/>
  <c r="CN40" i="1" l="1"/>
  <c r="CN48" i="1"/>
  <c r="CN50" i="1" s="1"/>
  <c r="CN64" i="1"/>
  <c r="CN22" i="1"/>
  <c r="CO21" i="1"/>
  <c r="CP9" i="1"/>
  <c r="CP10" i="1" s="1"/>
  <c r="CP128" i="1"/>
  <c r="CP135" i="1"/>
  <c r="CP136" i="1"/>
  <c r="CP137" i="1"/>
  <c r="CP139" i="1"/>
  <c r="CP144" i="1"/>
  <c r="CP145" i="1"/>
  <c r="CP146" i="1"/>
  <c r="CP147" i="1"/>
  <c r="CP150" i="1"/>
  <c r="CP151" i="1"/>
  <c r="CP152" i="1"/>
  <c r="CP153" i="1"/>
  <c r="CP154" i="1"/>
  <c r="CP155" i="1"/>
  <c r="CQ8" i="1"/>
  <c r="CP29" i="1"/>
  <c r="CP130" i="1"/>
  <c r="CP131" i="1"/>
  <c r="CP132" i="1"/>
  <c r="CP133" i="1"/>
  <c r="CP134" i="1"/>
  <c r="CP138" i="1"/>
  <c r="CP140" i="1"/>
  <c r="CP141" i="1"/>
  <c r="CP143" i="1"/>
  <c r="CO49" i="1"/>
  <c r="CO47" i="1"/>
  <c r="CO19" i="1"/>
  <c r="CO20" i="1"/>
  <c r="AQ60" i="1"/>
  <c r="CO15" i="1"/>
  <c r="CO38" i="1"/>
  <c r="CO40" i="1" s="1"/>
  <c r="CP39" i="1" l="1"/>
  <c r="CP49" i="1"/>
  <c r="CP47" i="1"/>
  <c r="CP58" i="1"/>
  <c r="CP20" i="1"/>
  <c r="CP19" i="1"/>
  <c r="CQ130" i="1"/>
  <c r="CQ131" i="1"/>
  <c r="CQ132" i="1"/>
  <c r="CQ133" i="1"/>
  <c r="CQ24" i="1" s="1"/>
  <c r="CR8" i="1"/>
  <c r="CQ9" i="1"/>
  <c r="CQ10" i="1" s="1"/>
  <c r="CQ29" i="1"/>
  <c r="CQ128" i="1"/>
  <c r="CQ139" i="1"/>
  <c r="CQ141" i="1"/>
  <c r="CQ38" i="1" s="1"/>
  <c r="CQ143" i="1"/>
  <c r="CQ134" i="1"/>
  <c r="CQ135" i="1"/>
  <c r="CQ136" i="1"/>
  <c r="CQ137" i="1"/>
  <c r="CQ138" i="1"/>
  <c r="CQ140" i="1"/>
  <c r="CQ144" i="1"/>
  <c r="CQ145" i="1"/>
  <c r="CQ146" i="1"/>
  <c r="CQ147" i="1"/>
  <c r="CQ150" i="1"/>
  <c r="CQ151" i="1"/>
  <c r="CQ152" i="1"/>
  <c r="CQ153" i="1"/>
  <c r="CQ154" i="1"/>
  <c r="CQ155" i="1"/>
  <c r="CP21" i="1"/>
  <c r="CP24" i="1"/>
  <c r="CO48" i="1"/>
  <c r="CO50" i="1" s="1"/>
  <c r="AQ61" i="1"/>
  <c r="AQ62" i="1" s="1"/>
  <c r="AR57" i="1" s="1"/>
  <c r="CO22" i="1"/>
  <c r="CP15" i="1"/>
  <c r="CP38" i="1"/>
  <c r="CP40" i="1" l="1"/>
  <c r="CP48" i="1"/>
  <c r="CP50" i="1" s="1"/>
  <c r="CP64" i="1"/>
  <c r="CP22" i="1"/>
  <c r="CQ15" i="1"/>
  <c r="CQ21" i="1"/>
  <c r="CR134" i="1"/>
  <c r="CR136" i="1"/>
  <c r="CR138" i="1"/>
  <c r="CR140" i="1"/>
  <c r="CR141" i="1"/>
  <c r="CR143" i="1"/>
  <c r="CS8" i="1"/>
  <c r="CR128" i="1"/>
  <c r="CR135" i="1"/>
  <c r="CR137" i="1"/>
  <c r="CR139" i="1"/>
  <c r="CR144" i="1"/>
  <c r="CR145" i="1"/>
  <c r="CR146" i="1"/>
  <c r="CR147" i="1"/>
  <c r="CR150" i="1"/>
  <c r="CR151" i="1"/>
  <c r="CR152" i="1"/>
  <c r="CR153" i="1"/>
  <c r="CR154" i="1"/>
  <c r="CR155" i="1"/>
  <c r="CR9" i="1"/>
  <c r="CR10" i="1" s="1"/>
  <c r="CR29" i="1"/>
  <c r="CR130" i="1"/>
  <c r="CR131" i="1"/>
  <c r="CR132" i="1"/>
  <c r="CR133" i="1"/>
  <c r="CQ47" i="1"/>
  <c r="CQ49" i="1"/>
  <c r="CQ20" i="1"/>
  <c r="CQ19" i="1"/>
  <c r="AR59" i="1"/>
  <c r="CQ39" i="1"/>
  <c r="CQ40" i="1" s="1"/>
  <c r="CQ58" i="1"/>
  <c r="CQ64" i="1" s="1"/>
  <c r="CR38" i="1" l="1"/>
  <c r="CS9" i="1"/>
  <c r="CS10" i="1" s="1"/>
  <c r="CS29" i="1"/>
  <c r="CS128" i="1"/>
  <c r="CS134" i="1"/>
  <c r="CS136" i="1"/>
  <c r="CS137" i="1"/>
  <c r="CS138" i="1"/>
  <c r="CS139" i="1"/>
  <c r="CS140" i="1"/>
  <c r="CS144" i="1"/>
  <c r="CS145" i="1"/>
  <c r="CS146" i="1"/>
  <c r="CS147" i="1"/>
  <c r="CS150" i="1"/>
  <c r="CS151" i="1"/>
  <c r="CS152" i="1"/>
  <c r="CS153" i="1"/>
  <c r="CS154" i="1"/>
  <c r="CS155" i="1"/>
  <c r="CS130" i="1"/>
  <c r="CS131" i="1"/>
  <c r="CS132" i="1"/>
  <c r="CS133" i="1"/>
  <c r="CS24" i="1" s="1"/>
  <c r="CT8" i="1"/>
  <c r="CS135" i="1"/>
  <c r="CS141" i="1"/>
  <c r="CS143" i="1"/>
  <c r="CR47" i="1"/>
  <c r="CR49" i="1"/>
  <c r="CR19" i="1"/>
  <c r="CR20" i="1"/>
  <c r="CR21" i="1"/>
  <c r="CR24" i="1"/>
  <c r="CQ48" i="1"/>
  <c r="CQ50" i="1" s="1"/>
  <c r="AR60" i="1"/>
  <c r="CQ22" i="1"/>
  <c r="CR15" i="1"/>
  <c r="CR39" i="1"/>
  <c r="CR58" i="1"/>
  <c r="CR40" i="1" l="1"/>
  <c r="CS49" i="1"/>
  <c r="CS47" i="1"/>
  <c r="CS20" i="1"/>
  <c r="CS19" i="1"/>
  <c r="CS15" i="1"/>
  <c r="CS21" i="1"/>
  <c r="CT9" i="1"/>
  <c r="CT10" i="1" s="1"/>
  <c r="CT128" i="1"/>
  <c r="CT134" i="1"/>
  <c r="CT141" i="1"/>
  <c r="CT38" i="1" s="1"/>
  <c r="CT143" i="1"/>
  <c r="CU8" i="1"/>
  <c r="CT135" i="1"/>
  <c r="CT136" i="1"/>
  <c r="CT137" i="1"/>
  <c r="CT138" i="1"/>
  <c r="CT139" i="1"/>
  <c r="CT140" i="1"/>
  <c r="CT144" i="1"/>
  <c r="CT145" i="1"/>
  <c r="CT146" i="1"/>
  <c r="CT39" i="1" s="1"/>
  <c r="CT147" i="1"/>
  <c r="CT150" i="1"/>
  <c r="CT58" i="1" s="1"/>
  <c r="CT64" i="1" s="1"/>
  <c r="CT151" i="1"/>
  <c r="CT152" i="1"/>
  <c r="CT153" i="1"/>
  <c r="CT154" i="1"/>
  <c r="CT155" i="1"/>
  <c r="CT29" i="1"/>
  <c r="CT130" i="1"/>
  <c r="CT131" i="1"/>
  <c r="CT132" i="1"/>
  <c r="CT133" i="1"/>
  <c r="CR48" i="1"/>
  <c r="CR50" i="1" s="1"/>
  <c r="CR22" i="1"/>
  <c r="AR61" i="1"/>
  <c r="AR62" i="1" s="1"/>
  <c r="AS57" i="1" s="1"/>
  <c r="CR64" i="1"/>
  <c r="CS39" i="1"/>
  <c r="CS58" i="1"/>
  <c r="CS64" i="1" s="1"/>
  <c r="CS38" i="1"/>
  <c r="CS48" i="1" l="1"/>
  <c r="CS50" i="1" s="1"/>
  <c r="CU128" i="1"/>
  <c r="CU134" i="1"/>
  <c r="CU139" i="1"/>
  <c r="CU144" i="1"/>
  <c r="CU145" i="1"/>
  <c r="CU146" i="1"/>
  <c r="CU147" i="1"/>
  <c r="CU150" i="1"/>
  <c r="CU151" i="1"/>
  <c r="CU152" i="1"/>
  <c r="CU153" i="1"/>
  <c r="CU154" i="1"/>
  <c r="CU155" i="1"/>
  <c r="CV8" i="1"/>
  <c r="CU9" i="1"/>
  <c r="CU10" i="1" s="1"/>
  <c r="CU130" i="1"/>
  <c r="CU131" i="1"/>
  <c r="CU132" i="1"/>
  <c r="CU133" i="1"/>
  <c r="CU24" i="1" s="1"/>
  <c r="CU29" i="1"/>
  <c r="CU135" i="1"/>
  <c r="CU136" i="1"/>
  <c r="CU137" i="1"/>
  <c r="CU138" i="1"/>
  <c r="CU140" i="1"/>
  <c r="CU141" i="1"/>
  <c r="CU143" i="1"/>
  <c r="CT47" i="1"/>
  <c r="CT49" i="1"/>
  <c r="CT19" i="1"/>
  <c r="CT20" i="1"/>
  <c r="CT21" i="1"/>
  <c r="CT24" i="1"/>
  <c r="AS59" i="1"/>
  <c r="CS40" i="1"/>
  <c r="CT40" i="1"/>
  <c r="CS22" i="1"/>
  <c r="CT15" i="1"/>
  <c r="CU39" i="1" l="1"/>
  <c r="CU47" i="1"/>
  <c r="CU49" i="1"/>
  <c r="CU58" i="1"/>
  <c r="CU19" i="1"/>
  <c r="CU20" i="1"/>
  <c r="CV130" i="1"/>
  <c r="CV131" i="1"/>
  <c r="CV132" i="1"/>
  <c r="CV133" i="1"/>
  <c r="CV128" i="1"/>
  <c r="CV141" i="1"/>
  <c r="CV38" i="1" s="1"/>
  <c r="CV143" i="1"/>
  <c r="CW8" i="1"/>
  <c r="CV9" i="1"/>
  <c r="CV10" i="1" s="1"/>
  <c r="CV29" i="1"/>
  <c r="CV134" i="1"/>
  <c r="CV135" i="1"/>
  <c r="CV136" i="1"/>
  <c r="CV137" i="1"/>
  <c r="CV138" i="1"/>
  <c r="CV139" i="1"/>
  <c r="CV140" i="1"/>
  <c r="CV144" i="1"/>
  <c r="CV145" i="1"/>
  <c r="CV146" i="1"/>
  <c r="CV147" i="1"/>
  <c r="CV150" i="1"/>
  <c r="CV151" i="1"/>
  <c r="CV152" i="1"/>
  <c r="CV153" i="1"/>
  <c r="CV154" i="1"/>
  <c r="CV155" i="1"/>
  <c r="CU21" i="1"/>
  <c r="CU38" i="1"/>
  <c r="CT48" i="1"/>
  <c r="CT50" i="1" s="1"/>
  <c r="CT22" i="1"/>
  <c r="AS60" i="1"/>
  <c r="CU15" i="1"/>
  <c r="CU48" i="1" l="1"/>
  <c r="CU50" i="1" s="1"/>
  <c r="CU64" i="1"/>
  <c r="CV15" i="1"/>
  <c r="CV21" i="1"/>
  <c r="CV24" i="1"/>
  <c r="CW9" i="1"/>
  <c r="CW10" i="1" s="1"/>
  <c r="CW128" i="1"/>
  <c r="CW138" i="1"/>
  <c r="CW139" i="1"/>
  <c r="CW144" i="1"/>
  <c r="CW145" i="1"/>
  <c r="CW146" i="1"/>
  <c r="CW147" i="1"/>
  <c r="CW150" i="1"/>
  <c r="CW151" i="1"/>
  <c r="CW152" i="1"/>
  <c r="CW153" i="1"/>
  <c r="CW154" i="1"/>
  <c r="CW155" i="1"/>
  <c r="CW130" i="1"/>
  <c r="CW131" i="1"/>
  <c r="CW132" i="1"/>
  <c r="CW133" i="1"/>
  <c r="CX8" i="1"/>
  <c r="CW29" i="1"/>
  <c r="CW134" i="1"/>
  <c r="CW135" i="1"/>
  <c r="CW136" i="1"/>
  <c r="CW137" i="1"/>
  <c r="CW140" i="1"/>
  <c r="CW141" i="1"/>
  <c r="CW143" i="1"/>
  <c r="CV49" i="1"/>
  <c r="CV47" i="1"/>
  <c r="CV20" i="1"/>
  <c r="CV19" i="1"/>
  <c r="CU40" i="1"/>
  <c r="AS61" i="1"/>
  <c r="AS62" i="1" s="1"/>
  <c r="AT57" i="1" s="1"/>
  <c r="CU22" i="1"/>
  <c r="CV39" i="1"/>
  <c r="CV58" i="1"/>
  <c r="CV64" i="1" s="1"/>
  <c r="CW49" i="1" l="1"/>
  <c r="CW47" i="1"/>
  <c r="CW19" i="1"/>
  <c r="CW20" i="1"/>
  <c r="CW21" i="1"/>
  <c r="CX9" i="1"/>
  <c r="CX10" i="1" s="1"/>
  <c r="CX138" i="1"/>
  <c r="CX141" i="1"/>
  <c r="CX143" i="1"/>
  <c r="CY8" i="1"/>
  <c r="CX128" i="1"/>
  <c r="CX134" i="1"/>
  <c r="CX135" i="1"/>
  <c r="CX136" i="1"/>
  <c r="CX137" i="1"/>
  <c r="CX139" i="1"/>
  <c r="CX140" i="1"/>
  <c r="CX144" i="1"/>
  <c r="CX145" i="1"/>
  <c r="CX146" i="1"/>
  <c r="CX147" i="1"/>
  <c r="CX150" i="1"/>
  <c r="CX151" i="1"/>
  <c r="CX152" i="1"/>
  <c r="CX153" i="1"/>
  <c r="CX154" i="1"/>
  <c r="CX155" i="1"/>
  <c r="CX29" i="1"/>
  <c r="CX130" i="1"/>
  <c r="CX131" i="1"/>
  <c r="CX132" i="1"/>
  <c r="CX133" i="1"/>
  <c r="CX24" i="1" s="1"/>
  <c r="CW38" i="1"/>
  <c r="CV48" i="1"/>
  <c r="CV50" i="1"/>
  <c r="CV22" i="1"/>
  <c r="AT59" i="1"/>
  <c r="CV40" i="1"/>
  <c r="CW39" i="1"/>
  <c r="CW58" i="1"/>
  <c r="CW15" i="1"/>
  <c r="CW24" i="1"/>
  <c r="CW48" i="1" l="1"/>
  <c r="CW50" i="1"/>
  <c r="CZ8" i="1"/>
  <c r="CY9" i="1"/>
  <c r="CY10" i="1" s="1"/>
  <c r="CY29" i="1"/>
  <c r="CY128" i="1"/>
  <c r="CY134" i="1"/>
  <c r="CY138" i="1"/>
  <c r="CY139" i="1"/>
  <c r="CY144" i="1"/>
  <c r="CY145" i="1"/>
  <c r="CY146" i="1"/>
  <c r="CY39" i="1" s="1"/>
  <c r="CY147" i="1"/>
  <c r="CY150" i="1"/>
  <c r="CY58" i="1" s="1"/>
  <c r="CY64" i="1" s="1"/>
  <c r="CY151" i="1"/>
  <c r="CY152" i="1"/>
  <c r="CY153" i="1"/>
  <c r="CY154" i="1"/>
  <c r="CY155" i="1"/>
  <c r="CY130" i="1"/>
  <c r="CY131" i="1"/>
  <c r="CY132" i="1"/>
  <c r="CY133" i="1"/>
  <c r="CY135" i="1"/>
  <c r="CY136" i="1"/>
  <c r="CY137" i="1"/>
  <c r="CY140" i="1"/>
  <c r="CY141" i="1"/>
  <c r="CY143" i="1"/>
  <c r="CX47" i="1"/>
  <c r="CX49" i="1"/>
  <c r="CX19" i="1"/>
  <c r="CX20" i="1"/>
  <c r="CX21" i="1"/>
  <c r="CW40" i="1"/>
  <c r="AT60" i="1"/>
  <c r="CW64" i="1"/>
  <c r="CW22" i="1"/>
  <c r="CX38" i="1"/>
  <c r="CX39" i="1"/>
  <c r="CX58" i="1"/>
  <c r="CX64" i="1" s="1"/>
  <c r="CX15" i="1"/>
  <c r="CZ134" i="1" l="1"/>
  <c r="CZ135" i="1"/>
  <c r="CZ136" i="1"/>
  <c r="CZ137" i="1"/>
  <c r="CZ139" i="1"/>
  <c r="CZ144" i="1"/>
  <c r="CZ145" i="1"/>
  <c r="CZ146" i="1"/>
  <c r="CZ147" i="1"/>
  <c r="CZ150" i="1"/>
  <c r="CZ151" i="1"/>
  <c r="CZ152" i="1"/>
  <c r="CZ153" i="1"/>
  <c r="CZ154" i="1"/>
  <c r="CZ155" i="1"/>
  <c r="DA8" i="1"/>
  <c r="CZ29" i="1"/>
  <c r="CZ130" i="1"/>
  <c r="CZ131" i="1"/>
  <c r="CZ132" i="1"/>
  <c r="CZ133" i="1"/>
  <c r="CZ24" i="1" s="1"/>
  <c r="CZ9" i="1"/>
  <c r="CZ10" i="1" s="1"/>
  <c r="CZ128" i="1"/>
  <c r="CZ138" i="1"/>
  <c r="CZ140" i="1"/>
  <c r="CZ141" i="1"/>
  <c r="CZ38" i="1" s="1"/>
  <c r="CZ143" i="1"/>
  <c r="CY47" i="1"/>
  <c r="CY49" i="1"/>
  <c r="CY19" i="1"/>
  <c r="CY20" i="1"/>
  <c r="CY21" i="1"/>
  <c r="CY24" i="1"/>
  <c r="CX48" i="1"/>
  <c r="CX50" i="1" s="1"/>
  <c r="CX22" i="1"/>
  <c r="AT61" i="1"/>
  <c r="AT62" i="1" s="1"/>
  <c r="AU57" i="1" s="1"/>
  <c r="CX40" i="1"/>
  <c r="CY15" i="1"/>
  <c r="CY38" i="1"/>
  <c r="CZ39" i="1" l="1"/>
  <c r="CZ47" i="1"/>
  <c r="CZ49" i="1"/>
  <c r="CZ58" i="1"/>
  <c r="CZ20" i="1"/>
  <c r="CZ19" i="1"/>
  <c r="DA130" i="1"/>
  <c r="DA15" i="1" s="1"/>
  <c r="DA131" i="1"/>
  <c r="DA132" i="1"/>
  <c r="DA133" i="1"/>
  <c r="DB8" i="1"/>
  <c r="DA134" i="1"/>
  <c r="DA140" i="1"/>
  <c r="DA141" i="1"/>
  <c r="DA143" i="1"/>
  <c r="DA9" i="1"/>
  <c r="DA10" i="1" s="1"/>
  <c r="DA29" i="1"/>
  <c r="DA128" i="1"/>
  <c r="DA135" i="1"/>
  <c r="DA136" i="1"/>
  <c r="DA137" i="1"/>
  <c r="DA138" i="1"/>
  <c r="DA139" i="1"/>
  <c r="DA144" i="1"/>
  <c r="DA145" i="1"/>
  <c r="DA146" i="1"/>
  <c r="DA147" i="1"/>
  <c r="DA150" i="1"/>
  <c r="DA151" i="1"/>
  <c r="DA152" i="1"/>
  <c r="DA153" i="1"/>
  <c r="DA154" i="1"/>
  <c r="DA155" i="1"/>
  <c r="CZ15" i="1"/>
  <c r="CZ21" i="1"/>
  <c r="CY48" i="1"/>
  <c r="CY50" i="1" s="1"/>
  <c r="AU59" i="1"/>
  <c r="CY40" i="1"/>
  <c r="CY22" i="1"/>
  <c r="CZ40" i="1" l="1"/>
  <c r="CZ48" i="1"/>
  <c r="CZ50" i="1" s="1"/>
  <c r="CZ64" i="1"/>
  <c r="CZ22" i="1"/>
  <c r="DA21" i="1"/>
  <c r="DA24" i="1"/>
  <c r="DB128" i="1"/>
  <c r="DB135" i="1"/>
  <c r="DB136" i="1"/>
  <c r="U136" i="1" s="1"/>
  <c r="DB137" i="1"/>
  <c r="U137" i="1" s="1"/>
  <c r="DB138" i="1"/>
  <c r="DB140" i="1"/>
  <c r="U140" i="1" s="1"/>
  <c r="DB141" i="1"/>
  <c r="DB143" i="1"/>
  <c r="DB134" i="1"/>
  <c r="U134" i="1" s="1"/>
  <c r="DB139" i="1"/>
  <c r="U139" i="1" s="1"/>
  <c r="DB144" i="1"/>
  <c r="U144" i="1" s="1"/>
  <c r="DB145" i="1"/>
  <c r="U145" i="1" s="1"/>
  <c r="DB146" i="1"/>
  <c r="DB147" i="1"/>
  <c r="U147" i="1" s="1"/>
  <c r="DB150" i="1"/>
  <c r="DB58" i="1" s="1"/>
  <c r="DB151" i="1"/>
  <c r="DB152" i="1"/>
  <c r="U152" i="1" s="1"/>
  <c r="DB153" i="1"/>
  <c r="U153" i="1" s="1"/>
  <c r="DB154" i="1"/>
  <c r="U154" i="1" s="1"/>
  <c r="DB155" i="1"/>
  <c r="U155" i="1" s="1"/>
  <c r="DB9" i="1"/>
  <c r="DB10" i="1" s="1"/>
  <c r="DB29" i="1"/>
  <c r="U29" i="1" s="1"/>
  <c r="DB130" i="1"/>
  <c r="DB131" i="1"/>
  <c r="U131" i="1" s="1"/>
  <c r="DB132" i="1"/>
  <c r="DB133" i="1"/>
  <c r="BP28" i="1"/>
  <c r="BH28" i="1"/>
  <c r="CP28" i="1"/>
  <c r="CW28" i="1"/>
  <c r="CA28" i="1"/>
  <c r="BU28" i="1"/>
  <c r="BD28" i="1"/>
  <c r="BL28" i="1"/>
  <c r="AE28" i="1"/>
  <c r="CN28" i="1"/>
  <c r="DB28" i="1"/>
  <c r="CV28" i="1"/>
  <c r="AS28" i="1"/>
  <c r="AD28" i="1"/>
  <c r="AL28" i="1"/>
  <c r="BW28" i="1"/>
  <c r="CK28" i="1"/>
  <c r="CR28" i="1"/>
  <c r="CT28" i="1"/>
  <c r="AJ28" i="1"/>
  <c r="BM28" i="1"/>
  <c r="AX28" i="1"/>
  <c r="BV28" i="1"/>
  <c r="CI28" i="1"/>
  <c r="AH28" i="1"/>
  <c r="DA28" i="1"/>
  <c r="CB28" i="1"/>
  <c r="CH28" i="1"/>
  <c r="CG28" i="1"/>
  <c r="X28" i="1"/>
  <c r="CJ28" i="1"/>
  <c r="BO28" i="1"/>
  <c r="BC28" i="1"/>
  <c r="W28" i="1"/>
  <c r="BK28" i="1"/>
  <c r="CQ28" i="1"/>
  <c r="Y28" i="1"/>
  <c r="BE28" i="1"/>
  <c r="CM28" i="1"/>
  <c r="AB28" i="1"/>
  <c r="CY28" i="1"/>
  <c r="AG28" i="1"/>
  <c r="CL28" i="1"/>
  <c r="V28" i="1"/>
  <c r="AZ28" i="1"/>
  <c r="CE28" i="1"/>
  <c r="DA38" i="1"/>
  <c r="CX25" i="1"/>
  <c r="CS25" i="1"/>
  <c r="CT25" i="1"/>
  <c r="CO25" i="1"/>
  <c r="AJ25" i="1"/>
  <c r="BP25" i="1"/>
  <c r="Y25" i="1"/>
  <c r="AB25" i="1"/>
  <c r="BX25" i="1"/>
  <c r="CC25" i="1"/>
  <c r="BL25" i="1"/>
  <c r="AH25" i="1"/>
  <c r="CE25" i="1"/>
  <c r="BE25" i="1"/>
  <c r="BK25" i="1"/>
  <c r="AK25" i="1"/>
  <c r="AP25" i="1"/>
  <c r="AN25" i="1"/>
  <c r="AS25" i="1"/>
  <c r="BO25" i="1"/>
  <c r="AQ25" i="1"/>
  <c r="AG25" i="1"/>
  <c r="AW25" i="1"/>
  <c r="BZ25" i="1"/>
  <c r="CH25" i="1"/>
  <c r="AI25" i="1"/>
  <c r="BT25" i="1"/>
  <c r="AA25" i="1"/>
  <c r="BV25" i="1"/>
  <c r="BC25" i="1"/>
  <c r="CJ25" i="1"/>
  <c r="AV25" i="1"/>
  <c r="Z25" i="1"/>
  <c r="BF25" i="1"/>
  <c r="BA25" i="1"/>
  <c r="AC25" i="1"/>
  <c r="BW25" i="1"/>
  <c r="X25" i="1"/>
  <c r="CB25" i="1"/>
  <c r="BJ25" i="1"/>
  <c r="AO25" i="1"/>
  <c r="AF25" i="1"/>
  <c r="CM25" i="1"/>
  <c r="BD25" i="1"/>
  <c r="BM25" i="1"/>
  <c r="AM25" i="1"/>
  <c r="CI25" i="1"/>
  <c r="BG25" i="1"/>
  <c r="CL25" i="1"/>
  <c r="CA25" i="1"/>
  <c r="CQ25" i="1"/>
  <c r="AY25" i="1"/>
  <c r="BU25" i="1"/>
  <c r="BB25" i="1"/>
  <c r="CD25" i="1"/>
  <c r="BN25" i="1"/>
  <c r="AZ25" i="1"/>
  <c r="AD25" i="1"/>
  <c r="BH25" i="1"/>
  <c r="CK25" i="1"/>
  <c r="AU25" i="1"/>
  <c r="CR25" i="1"/>
  <c r="CV25" i="1"/>
  <c r="CG25" i="1"/>
  <c r="BI25" i="1"/>
  <c r="CU25" i="1"/>
  <c r="CN25" i="1"/>
  <c r="AR25" i="1"/>
  <c r="AT25" i="1"/>
  <c r="BY25" i="1"/>
  <c r="BS25" i="1"/>
  <c r="BQ25" i="1"/>
  <c r="AX25" i="1"/>
  <c r="AE25" i="1"/>
  <c r="V25" i="1"/>
  <c r="CY25" i="1"/>
  <c r="CW26" i="1"/>
  <c r="CS26" i="1"/>
  <c r="CU26" i="1"/>
  <c r="CT26" i="1"/>
  <c r="CH26" i="1"/>
  <c r="BP26" i="1"/>
  <c r="Z26" i="1"/>
  <c r="AW26" i="1"/>
  <c r="BH26" i="1"/>
  <c r="BW26" i="1"/>
  <c r="BC26" i="1"/>
  <c r="CB26" i="1"/>
  <c r="BN26" i="1"/>
  <c r="AP26" i="1"/>
  <c r="BI26" i="1"/>
  <c r="BT26" i="1"/>
  <c r="AT26" i="1"/>
  <c r="CJ26" i="1"/>
  <c r="CK26" i="1"/>
  <c r="BD26" i="1"/>
  <c r="AO26" i="1"/>
  <c r="BG26" i="1"/>
  <c r="AM26" i="1"/>
  <c r="AG26" i="1"/>
  <c r="BL26" i="1"/>
  <c r="BY26" i="1"/>
  <c r="BM26" i="1"/>
  <c r="AJ26" i="1"/>
  <c r="BQ26" i="1"/>
  <c r="BF26" i="1"/>
  <c r="AA26" i="1"/>
  <c r="AS26" i="1"/>
  <c r="BZ26" i="1"/>
  <c r="BU26" i="1"/>
  <c r="CO26" i="1"/>
  <c r="AF26" i="1"/>
  <c r="BK26" i="1"/>
  <c r="BE26" i="1"/>
  <c r="BA26" i="1"/>
  <c r="CE26" i="1"/>
  <c r="Y26" i="1"/>
  <c r="AV26" i="1"/>
  <c r="CL26" i="1"/>
  <c r="AD26" i="1"/>
  <c r="CA26" i="1"/>
  <c r="AE26" i="1"/>
  <c r="AH26" i="1"/>
  <c r="BX26" i="1"/>
  <c r="CG26" i="1"/>
  <c r="AI26" i="1"/>
  <c r="AY26" i="1"/>
  <c r="AQ26" i="1"/>
  <c r="X26" i="1"/>
  <c r="AB26" i="1"/>
  <c r="CF26" i="1"/>
  <c r="AZ26" i="1"/>
  <c r="AK26" i="1"/>
  <c r="AR26" i="1"/>
  <c r="AU26" i="1"/>
  <c r="CC26" i="1"/>
  <c r="BJ26" i="1"/>
  <c r="AC26" i="1"/>
  <c r="W26" i="1"/>
  <c r="V26" i="1"/>
  <c r="BB26" i="1"/>
  <c r="BO26" i="1"/>
  <c r="CP26" i="1"/>
  <c r="CV26" i="1"/>
  <c r="CM26" i="1"/>
  <c r="CD26" i="1"/>
  <c r="CN26" i="1"/>
  <c r="CI26" i="1"/>
  <c r="AX26" i="1"/>
  <c r="AN26" i="1"/>
  <c r="BR26" i="1"/>
  <c r="BS26" i="1"/>
  <c r="AL26" i="1"/>
  <c r="BV26" i="1"/>
  <c r="CQ26" i="1"/>
  <c r="CR26" i="1"/>
  <c r="CX26" i="1"/>
  <c r="CY26" i="1"/>
  <c r="DA47" i="1"/>
  <c r="DA49" i="1"/>
  <c r="DA19" i="1"/>
  <c r="DA20" i="1"/>
  <c r="AU60" i="1"/>
  <c r="DA39" i="1"/>
  <c r="DA58" i="1"/>
  <c r="DA64" i="1" s="1"/>
  <c r="U150" i="1"/>
  <c r="DB39" i="1" l="1"/>
  <c r="U146" i="1"/>
  <c r="N38" i="1" s="1"/>
  <c r="P38" i="1" s="1"/>
  <c r="E64" i="1" s="1"/>
  <c r="AZ30" i="1"/>
  <c r="U39" i="1"/>
  <c r="U135" i="1"/>
  <c r="DB25" i="1"/>
  <c r="CZ25" i="1"/>
  <c r="DA25" i="1"/>
  <c r="U138" i="1"/>
  <c r="DB26" i="1"/>
  <c r="U143" i="1"/>
  <c r="DB32" i="1"/>
  <c r="DA26" i="1"/>
  <c r="CZ26" i="1"/>
  <c r="DB47" i="1"/>
  <c r="DB49" i="1"/>
  <c r="U49" i="1" s="1"/>
  <c r="B29" i="3" s="1"/>
  <c r="D29" i="3" s="1"/>
  <c r="E29" i="3" s="1"/>
  <c r="U151" i="1"/>
  <c r="DB19" i="1"/>
  <c r="DB20" i="1"/>
  <c r="U20" i="1" s="1"/>
  <c r="U130" i="1"/>
  <c r="DB15" i="1"/>
  <c r="U132" i="1"/>
  <c r="DB16" i="1" s="1"/>
  <c r="DB21" i="1"/>
  <c r="U21" i="1" s="1"/>
  <c r="DA40" i="1"/>
  <c r="V30" i="1"/>
  <c r="U47" i="1"/>
  <c r="DA48" i="1"/>
  <c r="DA50" i="1" s="1"/>
  <c r="AU61" i="1"/>
  <c r="AU62" i="1" s="1"/>
  <c r="AV57" i="1" s="1"/>
  <c r="AD30" i="1"/>
  <c r="CR30" i="1"/>
  <c r="CG30" i="1"/>
  <c r="AX30" i="1"/>
  <c r="CT30" i="1"/>
  <c r="AJ30" i="1"/>
  <c r="BP30" i="1"/>
  <c r="Y30" i="1"/>
  <c r="AB30" i="1"/>
  <c r="BL30" i="1"/>
  <c r="AH30" i="1"/>
  <c r="CE30" i="1"/>
  <c r="BE30" i="1"/>
  <c r="BK30" i="1"/>
  <c r="AS30" i="1"/>
  <c r="BO30" i="1"/>
  <c r="AG30" i="1"/>
  <c r="CH30" i="1"/>
  <c r="BV30" i="1"/>
  <c r="BC30" i="1"/>
  <c r="CJ30" i="1"/>
  <c r="BW30" i="1"/>
  <c r="X30" i="1"/>
  <c r="CM30" i="1"/>
  <c r="BM30" i="1"/>
  <c r="CI30" i="1"/>
  <c r="CQ30" i="1"/>
  <c r="BH30" i="1"/>
  <c r="AE30" i="1"/>
  <c r="U26" i="1"/>
  <c r="DA22" i="1"/>
  <c r="CB30" i="1"/>
  <c r="CA30" i="1"/>
  <c r="BU30" i="1"/>
  <c r="CN30" i="1"/>
  <c r="CY30" i="1"/>
  <c r="BD30" i="1"/>
  <c r="CL30" i="1"/>
  <c r="CK30" i="1"/>
  <c r="CV30" i="1"/>
  <c r="AL25" i="1"/>
  <c r="AL30" i="1" s="1"/>
  <c r="W25" i="1"/>
  <c r="CF25" i="1"/>
  <c r="CW25" i="1"/>
  <c r="CW30" i="1" s="1"/>
  <c r="BR25" i="1"/>
  <c r="CP25" i="1"/>
  <c r="CP30" i="1" s="1"/>
  <c r="DB38" i="1"/>
  <c r="U141" i="1"/>
  <c r="N123" i="1" s="1"/>
  <c r="AM28" i="1"/>
  <c r="AM30" i="1" s="1"/>
  <c r="BR28" i="1"/>
  <c r="AY28" i="1"/>
  <c r="AY30" i="1" s="1"/>
  <c r="AC28" i="1"/>
  <c r="AC30" i="1" s="1"/>
  <c r="BN28" i="1"/>
  <c r="BN30" i="1" s="1"/>
  <c r="BJ28" i="1"/>
  <c r="BJ30" i="1" s="1"/>
  <c r="AK28" i="1"/>
  <c r="AK30" i="1" s="1"/>
  <c r="BI28" i="1"/>
  <c r="BI30" i="1" s="1"/>
  <c r="CC28" i="1"/>
  <c r="CC30" i="1" s="1"/>
  <c r="AR28" i="1"/>
  <c r="AR30" i="1" s="1"/>
  <c r="AI28" i="1"/>
  <c r="AI30" i="1" s="1"/>
  <c r="BQ28" i="1"/>
  <c r="BQ30" i="1" s="1"/>
  <c r="BZ28" i="1"/>
  <c r="BZ30" i="1" s="1"/>
  <c r="CO28" i="1"/>
  <c r="CO30" i="1" s="1"/>
  <c r="AU28" i="1"/>
  <c r="AU30" i="1" s="1"/>
  <c r="BB28" i="1"/>
  <c r="BB30" i="1" s="1"/>
  <c r="AO28" i="1"/>
  <c r="AO30" i="1" s="1"/>
  <c r="BF28" i="1"/>
  <c r="BF30" i="1" s="1"/>
  <c r="CF28" i="1"/>
  <c r="AA28" i="1"/>
  <c r="AA30" i="1" s="1"/>
  <c r="BA28" i="1"/>
  <c r="BA30" i="1" s="1"/>
  <c r="AV28" i="1"/>
  <c r="AV30" i="1" s="1"/>
  <c r="CZ28" i="1"/>
  <c r="CX28" i="1"/>
  <c r="CX30" i="1" s="1"/>
  <c r="BX28" i="1"/>
  <c r="BX30" i="1" s="1"/>
  <c r="BS28" i="1"/>
  <c r="BS30" i="1" s="1"/>
  <c r="AQ28" i="1"/>
  <c r="AQ30" i="1" s="1"/>
  <c r="BT28" i="1"/>
  <c r="BT30" i="1" s="1"/>
  <c r="Z28" i="1"/>
  <c r="Z30" i="1" s="1"/>
  <c r="CD28" i="1"/>
  <c r="CD30" i="1" s="1"/>
  <c r="AF28" i="1"/>
  <c r="AF30" i="1" s="1"/>
  <c r="CS28" i="1"/>
  <c r="CS30" i="1" s="1"/>
  <c r="AT28" i="1"/>
  <c r="AT30" i="1" s="1"/>
  <c r="AN28" i="1"/>
  <c r="AN30" i="1" s="1"/>
  <c r="AW28" i="1"/>
  <c r="AW30" i="1" s="1"/>
  <c r="AP28" i="1"/>
  <c r="AP30" i="1" s="1"/>
  <c r="BG28" i="1"/>
  <c r="BG30" i="1" s="1"/>
  <c r="BY28" i="1"/>
  <c r="BY30" i="1" s="1"/>
  <c r="CU28" i="1"/>
  <c r="CU30" i="1" s="1"/>
  <c r="DB64" i="1"/>
  <c r="U64" i="1" s="1"/>
  <c r="U58" i="1"/>
  <c r="DB24" i="1"/>
  <c r="U24" i="1" s="1"/>
  <c r="U133" i="1"/>
  <c r="DA30" i="1" l="1"/>
  <c r="U38" i="1"/>
  <c r="DB40" i="1"/>
  <c r="U40" i="1" s="1"/>
  <c r="DA32" i="1"/>
  <c r="CW32" i="1"/>
  <c r="CS32" i="1"/>
  <c r="CQ32" i="1"/>
  <c r="CP32" i="1"/>
  <c r="CN32" i="1"/>
  <c r="CO32" i="1"/>
  <c r="CL32" i="1"/>
  <c r="CK32" i="1"/>
  <c r="CH32" i="1"/>
  <c r="CG32" i="1"/>
  <c r="CD32" i="1"/>
  <c r="CB32" i="1"/>
  <c r="CC32" i="1"/>
  <c r="BX32" i="1"/>
  <c r="BY32" i="1"/>
  <c r="BV32" i="1"/>
  <c r="BU32" i="1"/>
  <c r="BT32" i="1"/>
  <c r="BR32" i="1"/>
  <c r="BS32" i="1"/>
  <c r="BP32" i="1"/>
  <c r="BQ32" i="1"/>
  <c r="BM32" i="1"/>
  <c r="BJ32" i="1"/>
  <c r="BK32" i="1"/>
  <c r="BG32" i="1"/>
  <c r="BF32" i="1"/>
  <c r="BE32" i="1"/>
  <c r="BB32" i="1"/>
  <c r="BA32" i="1"/>
  <c r="AX32" i="1"/>
  <c r="AW32" i="1"/>
  <c r="AT32" i="1"/>
  <c r="AR32" i="1"/>
  <c r="AS32" i="1"/>
  <c r="AP32" i="1"/>
  <c r="AO32" i="1"/>
  <c r="AK32" i="1"/>
  <c r="AJ32" i="1"/>
  <c r="AH32" i="1"/>
  <c r="AF32" i="1"/>
  <c r="AG32" i="1"/>
  <c r="AC32" i="1"/>
  <c r="AA32" i="1"/>
  <c r="V32" i="1"/>
  <c r="W32" i="1"/>
  <c r="Z32" i="1"/>
  <c r="Y32" i="1"/>
  <c r="X32" i="1"/>
  <c r="AB32" i="1"/>
  <c r="AE32" i="1"/>
  <c r="AD32" i="1"/>
  <c r="AI32" i="1"/>
  <c r="AM32" i="1"/>
  <c r="AL32" i="1"/>
  <c r="AN32" i="1"/>
  <c r="AQ32" i="1"/>
  <c r="AU32" i="1"/>
  <c r="AV32" i="1"/>
  <c r="AY32" i="1"/>
  <c r="AZ32" i="1"/>
  <c r="BC32" i="1"/>
  <c r="BD32" i="1"/>
  <c r="BH32" i="1"/>
  <c r="BI32" i="1"/>
  <c r="BL32" i="1"/>
  <c r="BO32" i="1"/>
  <c r="BN32" i="1"/>
  <c r="BW32" i="1"/>
  <c r="CA32" i="1"/>
  <c r="BZ32" i="1"/>
  <c r="CE32" i="1"/>
  <c r="CF32" i="1"/>
  <c r="CI32" i="1"/>
  <c r="CJ32" i="1"/>
  <c r="CM32" i="1"/>
  <c r="CR32" i="1"/>
  <c r="CU32" i="1"/>
  <c r="CT32" i="1"/>
  <c r="CV32" i="1"/>
  <c r="CY32" i="1"/>
  <c r="CX32" i="1"/>
  <c r="CZ32" i="1"/>
  <c r="DB48" i="1"/>
  <c r="U19" i="1"/>
  <c r="DB22" i="1"/>
  <c r="U22" i="1" s="1"/>
  <c r="U15" i="1"/>
  <c r="DB17" i="1"/>
  <c r="DA16" i="1"/>
  <c r="DA17" i="1" s="1"/>
  <c r="CX16" i="1"/>
  <c r="CX17" i="1" s="1"/>
  <c r="CX34" i="1" s="1"/>
  <c r="CW16" i="1"/>
  <c r="CW17" i="1" s="1"/>
  <c r="CW34" i="1" s="1"/>
  <c r="CT16" i="1"/>
  <c r="CT17" i="1" s="1"/>
  <c r="CT34" i="1" s="1"/>
  <c r="CS16" i="1"/>
  <c r="CS17" i="1" s="1"/>
  <c r="CS34" i="1" s="1"/>
  <c r="CP16" i="1"/>
  <c r="CP17" i="1" s="1"/>
  <c r="CP34" i="1" s="1"/>
  <c r="CO16" i="1"/>
  <c r="CO17" i="1" s="1"/>
  <c r="CO34" i="1" s="1"/>
  <c r="CL16" i="1"/>
  <c r="CL17" i="1" s="1"/>
  <c r="CL34" i="1" s="1"/>
  <c r="CK16" i="1"/>
  <c r="CK17" i="1" s="1"/>
  <c r="CK34" i="1" s="1"/>
  <c r="CH16" i="1"/>
  <c r="CH17" i="1" s="1"/>
  <c r="CH34" i="1" s="1"/>
  <c r="CG16" i="1"/>
  <c r="CG17" i="1" s="1"/>
  <c r="CG34" i="1" s="1"/>
  <c r="CD16" i="1"/>
  <c r="CD17" i="1" s="1"/>
  <c r="CD34" i="1" s="1"/>
  <c r="CC16" i="1"/>
  <c r="CC17" i="1" s="1"/>
  <c r="CC34" i="1" s="1"/>
  <c r="BZ16" i="1"/>
  <c r="BZ17" i="1" s="1"/>
  <c r="BZ34" i="1" s="1"/>
  <c r="BY16" i="1"/>
  <c r="BY17" i="1" s="1"/>
  <c r="BY34" i="1" s="1"/>
  <c r="BV16" i="1"/>
  <c r="BV17" i="1" s="1"/>
  <c r="BV34" i="1" s="1"/>
  <c r="BV42" i="1" s="1"/>
  <c r="BU16" i="1"/>
  <c r="BU17" i="1" s="1"/>
  <c r="BU34" i="1" s="1"/>
  <c r="BR16" i="1"/>
  <c r="BR17" i="1" s="1"/>
  <c r="BQ16" i="1"/>
  <c r="BQ17" i="1" s="1"/>
  <c r="BQ34" i="1" s="1"/>
  <c r="BN16" i="1"/>
  <c r="BN17" i="1" s="1"/>
  <c r="BN34" i="1" s="1"/>
  <c r="BM16" i="1"/>
  <c r="BM17" i="1" s="1"/>
  <c r="BM34" i="1" s="1"/>
  <c r="BJ16" i="1"/>
  <c r="BJ17" i="1" s="1"/>
  <c r="BJ34" i="1" s="1"/>
  <c r="BI16" i="1"/>
  <c r="BI17" i="1" s="1"/>
  <c r="BI34" i="1" s="1"/>
  <c r="BF16" i="1"/>
  <c r="BF17" i="1" s="1"/>
  <c r="BF34" i="1" s="1"/>
  <c r="BE16" i="1"/>
  <c r="BE17" i="1" s="1"/>
  <c r="BE34" i="1" s="1"/>
  <c r="BB16" i="1"/>
  <c r="BB17" i="1" s="1"/>
  <c r="BB34" i="1" s="1"/>
  <c r="BA16" i="1"/>
  <c r="BA17" i="1" s="1"/>
  <c r="BA34" i="1" s="1"/>
  <c r="AX16" i="1"/>
  <c r="AX17" i="1" s="1"/>
  <c r="AX34" i="1" s="1"/>
  <c r="AW16" i="1"/>
  <c r="AW17" i="1" s="1"/>
  <c r="AW34" i="1" s="1"/>
  <c r="AT16" i="1"/>
  <c r="AT17" i="1" s="1"/>
  <c r="AT34" i="1" s="1"/>
  <c r="AS16" i="1"/>
  <c r="AS17" i="1" s="1"/>
  <c r="AS34" i="1" s="1"/>
  <c r="AP16" i="1"/>
  <c r="AP17" i="1" s="1"/>
  <c r="AP34" i="1" s="1"/>
  <c r="AO16" i="1"/>
  <c r="AO17" i="1" s="1"/>
  <c r="AO34" i="1" s="1"/>
  <c r="AL16" i="1"/>
  <c r="AL17" i="1" s="1"/>
  <c r="AL34" i="1" s="1"/>
  <c r="AK16" i="1"/>
  <c r="AK17" i="1" s="1"/>
  <c r="AK34" i="1" s="1"/>
  <c r="AH16" i="1"/>
  <c r="AH17" i="1" s="1"/>
  <c r="AH34" i="1" s="1"/>
  <c r="AG16" i="1"/>
  <c r="AG17" i="1" s="1"/>
  <c r="AG34" i="1" s="1"/>
  <c r="AD16" i="1"/>
  <c r="AD17" i="1" s="1"/>
  <c r="AD34" i="1" s="1"/>
  <c r="AC16" i="1"/>
  <c r="AC17" i="1" s="1"/>
  <c r="AC34" i="1" s="1"/>
  <c r="Z16" i="1"/>
  <c r="Z17" i="1" s="1"/>
  <c r="Z34" i="1" s="1"/>
  <c r="Z42" i="1" s="1"/>
  <c r="Y16" i="1"/>
  <c r="Y17" i="1" s="1"/>
  <c r="Y34" i="1" s="1"/>
  <c r="W16" i="1"/>
  <c r="W17" i="1" s="1"/>
  <c r="V16" i="1"/>
  <c r="X16" i="1"/>
  <c r="X17" i="1" s="1"/>
  <c r="X34" i="1" s="1"/>
  <c r="AA16" i="1"/>
  <c r="AA17" i="1" s="1"/>
  <c r="AA34" i="1" s="1"/>
  <c r="AB16" i="1"/>
  <c r="AB17" i="1" s="1"/>
  <c r="AB34" i="1" s="1"/>
  <c r="AE16" i="1"/>
  <c r="AE17" i="1" s="1"/>
  <c r="AE34" i="1" s="1"/>
  <c r="AF16" i="1"/>
  <c r="AF17" i="1" s="1"/>
  <c r="AF34" i="1" s="1"/>
  <c r="AI16" i="1"/>
  <c r="AI17" i="1" s="1"/>
  <c r="AI34" i="1" s="1"/>
  <c r="AJ16" i="1"/>
  <c r="AJ17" i="1" s="1"/>
  <c r="AJ34" i="1" s="1"/>
  <c r="AM16" i="1"/>
  <c r="AM17" i="1" s="1"/>
  <c r="AM34" i="1" s="1"/>
  <c r="AN16" i="1"/>
  <c r="AN17" i="1" s="1"/>
  <c r="AN34" i="1" s="1"/>
  <c r="AQ16" i="1"/>
  <c r="AQ17" i="1" s="1"/>
  <c r="AQ34" i="1" s="1"/>
  <c r="AR16" i="1"/>
  <c r="AR17" i="1" s="1"/>
  <c r="AR34" i="1" s="1"/>
  <c r="AU16" i="1"/>
  <c r="AU17" i="1" s="1"/>
  <c r="AU34" i="1" s="1"/>
  <c r="AV16" i="1"/>
  <c r="AV17" i="1" s="1"/>
  <c r="AV34" i="1" s="1"/>
  <c r="AY16" i="1"/>
  <c r="AY17" i="1" s="1"/>
  <c r="AY34" i="1" s="1"/>
  <c r="AZ16" i="1"/>
  <c r="AZ17" i="1" s="1"/>
  <c r="AZ34" i="1" s="1"/>
  <c r="BC16" i="1"/>
  <c r="BC17" i="1" s="1"/>
  <c r="BC34" i="1" s="1"/>
  <c r="BD16" i="1"/>
  <c r="BD17" i="1" s="1"/>
  <c r="BD34" i="1" s="1"/>
  <c r="BG16" i="1"/>
  <c r="BG17" i="1" s="1"/>
  <c r="BG34" i="1" s="1"/>
  <c r="BH16" i="1"/>
  <c r="BH17" i="1" s="1"/>
  <c r="BH34" i="1" s="1"/>
  <c r="BK16" i="1"/>
  <c r="BK17" i="1" s="1"/>
  <c r="BK34" i="1" s="1"/>
  <c r="BL16" i="1"/>
  <c r="BL17" i="1" s="1"/>
  <c r="BL34" i="1" s="1"/>
  <c r="BO16" i="1"/>
  <c r="BO17" i="1" s="1"/>
  <c r="BO34" i="1" s="1"/>
  <c r="BP16" i="1"/>
  <c r="BP17" i="1" s="1"/>
  <c r="BP34" i="1" s="1"/>
  <c r="BS16" i="1"/>
  <c r="BS17" i="1" s="1"/>
  <c r="BS34" i="1" s="1"/>
  <c r="BT16" i="1"/>
  <c r="BT17" i="1" s="1"/>
  <c r="BT34" i="1" s="1"/>
  <c r="BW16" i="1"/>
  <c r="BW17" i="1" s="1"/>
  <c r="BW34" i="1" s="1"/>
  <c r="BX16" i="1"/>
  <c r="BX17" i="1" s="1"/>
  <c r="BX34" i="1" s="1"/>
  <c r="CA16" i="1"/>
  <c r="CA17" i="1" s="1"/>
  <c r="CA34" i="1" s="1"/>
  <c r="CB16" i="1"/>
  <c r="CB17" i="1" s="1"/>
  <c r="CB34" i="1" s="1"/>
  <c r="CE16" i="1"/>
  <c r="CE17" i="1" s="1"/>
  <c r="CE34" i="1" s="1"/>
  <c r="CF16" i="1"/>
  <c r="CF17" i="1" s="1"/>
  <c r="CI16" i="1"/>
  <c r="CI17" i="1" s="1"/>
  <c r="CI34" i="1" s="1"/>
  <c r="CJ16" i="1"/>
  <c r="CJ17" i="1" s="1"/>
  <c r="CJ34" i="1" s="1"/>
  <c r="CM16" i="1"/>
  <c r="CM17" i="1" s="1"/>
  <c r="CM34" i="1" s="1"/>
  <c r="CN16" i="1"/>
  <c r="CN17" i="1" s="1"/>
  <c r="CN34" i="1" s="1"/>
  <c r="CQ16" i="1"/>
  <c r="CQ17" i="1" s="1"/>
  <c r="CQ34" i="1" s="1"/>
  <c r="CR16" i="1"/>
  <c r="CR17" i="1" s="1"/>
  <c r="CR34" i="1" s="1"/>
  <c r="CU16" i="1"/>
  <c r="CU17" i="1" s="1"/>
  <c r="CU34" i="1" s="1"/>
  <c r="CV16" i="1"/>
  <c r="CV17" i="1" s="1"/>
  <c r="CV34" i="1" s="1"/>
  <c r="CY16" i="1"/>
  <c r="CY17" i="1" s="1"/>
  <c r="CY34" i="1" s="1"/>
  <c r="CZ16" i="1"/>
  <c r="CZ17" i="1" s="1"/>
  <c r="AV59" i="1"/>
  <c r="CH52" i="1"/>
  <c r="CH42" i="1"/>
  <c r="BV52" i="1"/>
  <c r="CJ52" i="1"/>
  <c r="CJ42" i="1"/>
  <c r="Z52" i="1"/>
  <c r="BF52" i="1"/>
  <c r="BF42" i="1"/>
  <c r="BA42" i="1"/>
  <c r="BA52" i="1"/>
  <c r="AC52" i="1"/>
  <c r="AC42" i="1"/>
  <c r="BW42" i="1"/>
  <c r="BW52" i="1"/>
  <c r="X42" i="1"/>
  <c r="X52" i="1"/>
  <c r="AF42" i="1"/>
  <c r="AF52" i="1"/>
  <c r="CM42" i="1"/>
  <c r="CM52" i="1"/>
  <c r="BM42" i="1"/>
  <c r="BM52" i="1"/>
  <c r="CW52" i="1"/>
  <c r="CW42" i="1"/>
  <c r="E44" i="1"/>
  <c r="N37" i="1"/>
  <c r="P37" i="1"/>
  <c r="E63" i="1" s="1"/>
  <c r="D45" i="1"/>
  <c r="D47" i="1" s="1"/>
  <c r="DB30" i="1"/>
  <c r="CF30" i="1"/>
  <c r="CZ30" i="1"/>
  <c r="BR30" i="1"/>
  <c r="U28" i="1"/>
  <c r="W30" i="1"/>
  <c r="U25" i="1"/>
  <c r="BZ52" i="1" l="1"/>
  <c r="BZ78" i="1" s="1"/>
  <c r="BZ42" i="1"/>
  <c r="U48" i="1"/>
  <c r="B27" i="3" s="1"/>
  <c r="D27" i="3" s="1"/>
  <c r="E27" i="3" s="1"/>
  <c r="DB50" i="1"/>
  <c r="U50" i="1" s="1"/>
  <c r="P47" i="1" s="1"/>
  <c r="DB34" i="1"/>
  <c r="DB42" i="1" s="1"/>
  <c r="CP42" i="1"/>
  <c r="CP52" i="1"/>
  <c r="AA42" i="1"/>
  <c r="AA52" i="1"/>
  <c r="AV42" i="1"/>
  <c r="AV52" i="1"/>
  <c r="AV78" i="1" s="1"/>
  <c r="BC52" i="1"/>
  <c r="BC78" i="1" s="1"/>
  <c r="BC42" i="1"/>
  <c r="DA34" i="1"/>
  <c r="CD42" i="1"/>
  <c r="CD52" i="1"/>
  <c r="AI42" i="1"/>
  <c r="AI52" i="1"/>
  <c r="CI52" i="1"/>
  <c r="CI78" i="1" s="1"/>
  <c r="CI42" i="1"/>
  <c r="CQ52" i="1"/>
  <c r="CQ78" i="1" s="1"/>
  <c r="CQ42" i="1"/>
  <c r="BY52" i="1"/>
  <c r="BY78" i="1" s="1"/>
  <c r="BY42" i="1"/>
  <c r="AE42" i="1"/>
  <c r="AE52" i="1"/>
  <c r="BH52" i="1"/>
  <c r="BH78" i="1" s="1"/>
  <c r="BH42" i="1"/>
  <c r="CU42" i="1"/>
  <c r="CU52" i="1"/>
  <c r="CU78" i="1" s="1"/>
  <c r="CF34" i="1"/>
  <c r="CZ34" i="1"/>
  <c r="CL42" i="1"/>
  <c r="CL52" i="1"/>
  <c r="CL78" i="1" s="1"/>
  <c r="CK52" i="1"/>
  <c r="CK78" i="1" s="1"/>
  <c r="CK42" i="1"/>
  <c r="BQ42" i="1"/>
  <c r="BQ52" i="1"/>
  <c r="BQ78" i="1" s="1"/>
  <c r="BI42" i="1"/>
  <c r="BI52" i="1"/>
  <c r="BI78" i="1" s="1"/>
  <c r="AL42" i="1"/>
  <c r="AL52" i="1"/>
  <c r="AM52" i="1"/>
  <c r="AM42" i="1"/>
  <c r="AR42" i="1"/>
  <c r="AR52" i="1"/>
  <c r="AU42" i="1"/>
  <c r="AU52" i="1"/>
  <c r="CA42" i="1"/>
  <c r="CA52" i="1"/>
  <c r="CA78" i="1" s="1"/>
  <c r="CB42" i="1"/>
  <c r="CB52" i="1"/>
  <c r="CB78" i="1" s="1"/>
  <c r="BU52" i="1"/>
  <c r="BU78" i="1" s="1"/>
  <c r="BU42" i="1"/>
  <c r="BN52" i="1"/>
  <c r="BN78" i="1" s="1"/>
  <c r="BN42" i="1"/>
  <c r="AQ42" i="1"/>
  <c r="AQ52" i="1"/>
  <c r="CN52" i="1"/>
  <c r="CN78" i="1" s="1"/>
  <c r="CN42" i="1"/>
  <c r="CV42" i="1"/>
  <c r="CV52" i="1"/>
  <c r="CV78" i="1" s="1"/>
  <c r="AW52" i="1"/>
  <c r="AW78" i="1" s="1"/>
  <c r="AW42" i="1"/>
  <c r="AT52" i="1"/>
  <c r="AT42" i="1"/>
  <c r="AO52" i="1"/>
  <c r="AO42" i="1"/>
  <c r="AY42" i="1"/>
  <c r="AY52" i="1"/>
  <c r="AY78" i="1" s="1"/>
  <c r="BD42" i="1"/>
  <c r="BD52" i="1"/>
  <c r="BD78" i="1" s="1"/>
  <c r="BS52" i="1"/>
  <c r="BS78" i="1" s="1"/>
  <c r="BS42" i="1"/>
  <c r="BT52" i="1"/>
  <c r="BT78" i="1" s="1"/>
  <c r="BT42" i="1"/>
  <c r="CY52" i="1"/>
  <c r="CY78" i="1" s="1"/>
  <c r="CY42" i="1"/>
  <c r="CX42" i="1"/>
  <c r="CX52" i="1"/>
  <c r="CX78" i="1" s="1"/>
  <c r="CT52" i="1"/>
  <c r="CT78" i="1" s="1"/>
  <c r="CT42" i="1"/>
  <c r="CS42" i="1"/>
  <c r="CS52" i="1"/>
  <c r="CS78" i="1" s="1"/>
  <c r="CO52" i="1"/>
  <c r="CO78" i="1" s="1"/>
  <c r="CO42" i="1"/>
  <c r="CC52" i="1"/>
  <c r="CC78" i="1" s="1"/>
  <c r="CC42" i="1"/>
  <c r="BE42" i="1"/>
  <c r="BE52" i="1"/>
  <c r="BE78" i="1" s="1"/>
  <c r="AS52" i="1"/>
  <c r="AS42" i="1"/>
  <c r="AP52" i="1"/>
  <c r="AP42" i="1"/>
  <c r="AK52" i="1"/>
  <c r="AK42" i="1"/>
  <c r="AH52" i="1"/>
  <c r="AH42" i="1"/>
  <c r="AG42" i="1"/>
  <c r="AG52" i="1"/>
  <c r="CG42" i="1"/>
  <c r="CG52" i="1"/>
  <c r="CG78" i="1" s="1"/>
  <c r="AN42" i="1"/>
  <c r="AN52" i="1"/>
  <c r="BO42" i="1"/>
  <c r="BO52" i="1"/>
  <c r="BO78" i="1" s="1"/>
  <c r="BB52" i="1"/>
  <c r="BB78" i="1" s="1"/>
  <c r="BB42" i="1"/>
  <c r="AX52" i="1"/>
  <c r="AX78" i="1" s="1"/>
  <c r="AX42" i="1"/>
  <c r="Y42" i="1"/>
  <c r="Y52" i="1"/>
  <c r="AB52" i="1"/>
  <c r="AB42" i="1"/>
  <c r="BK52" i="1"/>
  <c r="BK78" i="1" s="1"/>
  <c r="BK42" i="1"/>
  <c r="W34" i="1"/>
  <c r="BJ52" i="1"/>
  <c r="BJ78" i="1" s="1"/>
  <c r="BJ42" i="1"/>
  <c r="AD52" i="1"/>
  <c r="AD42" i="1"/>
  <c r="AJ42" i="1"/>
  <c r="AJ52" i="1"/>
  <c r="BG42" i="1"/>
  <c r="BG52" i="1"/>
  <c r="BG78" i="1" s="1"/>
  <c r="BL42" i="1"/>
  <c r="BL52" i="1"/>
  <c r="BL78" i="1" s="1"/>
  <c r="BP42" i="1"/>
  <c r="BP52" i="1"/>
  <c r="BP78" i="1" s="1"/>
  <c r="BX42" i="1"/>
  <c r="BX52" i="1"/>
  <c r="BX78" i="1" s="1"/>
  <c r="CE42" i="1"/>
  <c r="CE52" i="1"/>
  <c r="CE78" i="1" s="1"/>
  <c r="CR52" i="1"/>
  <c r="CR78" i="1" s="1"/>
  <c r="CR42" i="1"/>
  <c r="U16" i="1"/>
  <c r="V17" i="1"/>
  <c r="AZ42" i="1"/>
  <c r="AZ52" i="1"/>
  <c r="AV60" i="1"/>
  <c r="AV61" i="1" s="1"/>
  <c r="CH78" i="1"/>
  <c r="BV78" i="1"/>
  <c r="CJ78" i="1"/>
  <c r="Z67" i="1"/>
  <c r="Z78" i="1"/>
  <c r="BF78" i="1"/>
  <c r="BA78" i="1"/>
  <c r="AC78" i="1"/>
  <c r="AC67" i="1"/>
  <c r="BW78" i="1"/>
  <c r="X67" i="1"/>
  <c r="X78" i="1"/>
  <c r="AF78" i="1"/>
  <c r="AF67" i="1"/>
  <c r="CM78" i="1"/>
  <c r="BM78" i="1"/>
  <c r="CD78" i="1"/>
  <c r="AL78" i="1"/>
  <c r="AL67" i="1"/>
  <c r="CW78" i="1"/>
  <c r="CP78" i="1"/>
  <c r="E47" i="1"/>
  <c r="F44" i="1" s="1"/>
  <c r="E65" i="1"/>
  <c r="E78" i="1"/>
  <c r="AR67" i="1"/>
  <c r="AR78" i="1"/>
  <c r="AU78" i="1"/>
  <c r="AU67" i="1"/>
  <c r="CF42" i="1"/>
  <c r="CF52" i="1"/>
  <c r="CZ42" i="1"/>
  <c r="CZ52" i="1"/>
  <c r="U32" i="1"/>
  <c r="C141" i="1" s="1"/>
  <c r="DB52" i="1"/>
  <c r="BR34" i="1"/>
  <c r="U30" i="1"/>
  <c r="AI67" i="1" l="1"/>
  <c r="AI78" i="1"/>
  <c r="AA67" i="1"/>
  <c r="AA78" i="1"/>
  <c r="AE78" i="1"/>
  <c r="AE67" i="1"/>
  <c r="DA52" i="1"/>
  <c r="DA78" i="1" s="1"/>
  <c r="DA42" i="1"/>
  <c r="AM78" i="1"/>
  <c r="AM67" i="1"/>
  <c r="AJ78" i="1"/>
  <c r="AJ67" i="1"/>
  <c r="AT67" i="1"/>
  <c r="AT78" i="1"/>
  <c r="AQ78" i="1"/>
  <c r="AQ67" i="1"/>
  <c r="AO78" i="1"/>
  <c r="AO67" i="1"/>
  <c r="AD78" i="1"/>
  <c r="AD67" i="1"/>
  <c r="AS78" i="1"/>
  <c r="AS67" i="1"/>
  <c r="AS85" i="1" s="1"/>
  <c r="AP78" i="1"/>
  <c r="AP67" i="1"/>
  <c r="AK78" i="1"/>
  <c r="AK67" i="1"/>
  <c r="AH78" i="1"/>
  <c r="AH67" i="1"/>
  <c r="AG78" i="1"/>
  <c r="AG67" i="1"/>
  <c r="AN78" i="1"/>
  <c r="AN67" i="1"/>
  <c r="Y67" i="1"/>
  <c r="Y78" i="1"/>
  <c r="AB67" i="1"/>
  <c r="AB78" i="1"/>
  <c r="W52" i="1"/>
  <c r="W42" i="1"/>
  <c r="V34" i="1"/>
  <c r="U17" i="1"/>
  <c r="AZ78" i="1"/>
  <c r="AS86" i="1"/>
  <c r="AQ85" i="1"/>
  <c r="AQ86" i="1"/>
  <c r="AG85" i="1"/>
  <c r="AG86" i="1"/>
  <c r="AI85" i="1"/>
  <c r="AI86" i="1"/>
  <c r="AA85" i="1"/>
  <c r="AA86" i="1"/>
  <c r="Z85" i="1"/>
  <c r="Z86" i="1"/>
  <c r="AC86" i="1"/>
  <c r="AC85" i="1"/>
  <c r="X85" i="1"/>
  <c r="X86" i="1"/>
  <c r="AF85" i="1"/>
  <c r="AF86" i="1"/>
  <c r="AE85" i="1"/>
  <c r="AE86" i="1"/>
  <c r="AM85" i="1"/>
  <c r="AM86" i="1"/>
  <c r="AT85" i="1"/>
  <c r="AT86" i="1"/>
  <c r="AL85" i="1"/>
  <c r="AL86" i="1"/>
  <c r="E61" i="1"/>
  <c r="F45" i="1"/>
  <c r="E75" i="1"/>
  <c r="F46" i="1"/>
  <c r="C140" i="1"/>
  <c r="D78" i="1"/>
  <c r="AR85" i="1"/>
  <c r="AR86" i="1"/>
  <c r="AU85" i="1"/>
  <c r="AU86" i="1"/>
  <c r="CF78" i="1"/>
  <c r="CZ78" i="1"/>
  <c r="D141" i="1"/>
  <c r="DB78" i="1"/>
  <c r="BR52" i="1"/>
  <c r="BR42" i="1"/>
  <c r="AV67" i="1"/>
  <c r="AV62" i="1"/>
  <c r="AW57" i="1" s="1"/>
  <c r="AJ85" i="1" l="1"/>
  <c r="AJ86" i="1"/>
  <c r="AP86" i="1"/>
  <c r="AP85" i="1"/>
  <c r="AO86" i="1"/>
  <c r="AO85" i="1"/>
  <c r="AD85" i="1"/>
  <c r="AD86" i="1"/>
  <c r="Y86" i="1"/>
  <c r="Y85" i="1"/>
  <c r="AB86" i="1"/>
  <c r="AB85" i="1"/>
  <c r="AK85" i="1"/>
  <c r="AK86" i="1"/>
  <c r="AH85" i="1"/>
  <c r="AH86" i="1"/>
  <c r="AN85" i="1"/>
  <c r="AN86" i="1"/>
  <c r="W67" i="1"/>
  <c r="W78" i="1"/>
  <c r="U34" i="1"/>
  <c r="V42" i="1"/>
  <c r="U42" i="1" s="1"/>
  <c r="V52" i="1"/>
  <c r="C61" i="1"/>
  <c r="F61" i="1"/>
  <c r="E79" i="1"/>
  <c r="C139" i="1"/>
  <c r="D75" i="1"/>
  <c r="D79" i="1" s="1"/>
  <c r="D140" i="1"/>
  <c r="U53" i="1"/>
  <c r="P41" i="1" s="1"/>
  <c r="BR78" i="1"/>
  <c r="AV86" i="1"/>
  <c r="AV85" i="1"/>
  <c r="AW59" i="1"/>
  <c r="F47" i="1"/>
  <c r="W86" i="1" l="1"/>
  <c r="W85" i="1"/>
  <c r="W87" i="1" s="1"/>
  <c r="V78" i="1"/>
  <c r="U78" i="1" s="1"/>
  <c r="V67" i="1"/>
  <c r="U52" i="1"/>
  <c r="M22" i="1"/>
  <c r="D61" i="1"/>
  <c r="C142" i="1"/>
  <c r="E139" i="1" s="1"/>
  <c r="D139" i="1"/>
  <c r="AW60" i="1"/>
  <c r="X84" i="1" l="1"/>
  <c r="W88" i="1"/>
  <c r="W89" i="1" s="1"/>
  <c r="E140" i="1"/>
  <c r="E141" i="1"/>
  <c r="E133" i="1"/>
  <c r="E132" i="1"/>
  <c r="E136" i="1"/>
  <c r="E131" i="1"/>
  <c r="D142" i="1"/>
  <c r="E142" i="1"/>
  <c r="C143" i="1"/>
  <c r="K133" i="1"/>
  <c r="K135" i="1" s="1"/>
  <c r="K137" i="1" s="1"/>
  <c r="E138" i="1"/>
  <c r="E137" i="1"/>
  <c r="AW61" i="1"/>
  <c r="X87" i="1"/>
  <c r="D143" i="1" l="1"/>
  <c r="E143" i="1"/>
  <c r="W91" i="1"/>
  <c r="AW67" i="1"/>
  <c r="AW62" i="1"/>
  <c r="AX57" i="1" s="1"/>
  <c r="Y84" i="1"/>
  <c r="X88" i="1"/>
  <c r="AW85" i="1" l="1"/>
  <c r="AW86" i="1"/>
  <c r="AX59" i="1"/>
  <c r="Y87" i="1"/>
  <c r="X89" i="1"/>
  <c r="AX60" i="1" l="1"/>
  <c r="X91" i="1"/>
  <c r="Z84" i="1"/>
  <c r="Y88" i="1"/>
  <c r="AX61" i="1" l="1"/>
  <c r="Z87" i="1"/>
  <c r="Y89" i="1"/>
  <c r="AX62" i="1" l="1"/>
  <c r="AY57" i="1" s="1"/>
  <c r="AY59" i="1" s="1"/>
  <c r="AX67" i="1"/>
  <c r="Y91" i="1"/>
  <c r="AA84" i="1"/>
  <c r="Z88" i="1"/>
  <c r="AX86" i="1" l="1"/>
  <c r="AX85" i="1"/>
  <c r="AY60" i="1"/>
  <c r="AA87" i="1"/>
  <c r="Z89" i="1"/>
  <c r="AY61" i="1" l="1"/>
  <c r="Z91" i="1"/>
  <c r="AB84" i="1"/>
  <c r="AA88" i="1"/>
  <c r="AY62" i="1" l="1"/>
  <c r="AZ57" i="1" s="1"/>
  <c r="AZ59" i="1" s="1"/>
  <c r="AY67" i="1"/>
  <c r="AB87" i="1"/>
  <c r="AA89" i="1"/>
  <c r="AY86" i="1" l="1"/>
  <c r="AY85" i="1"/>
  <c r="AZ60" i="1"/>
  <c r="AA91" i="1"/>
  <c r="AC84" i="1"/>
  <c r="AB88" i="1"/>
  <c r="AZ61" i="1" l="1"/>
  <c r="AC87" i="1"/>
  <c r="AB89" i="1"/>
  <c r="AZ62" i="1" l="1"/>
  <c r="BA57" i="1" s="1"/>
  <c r="BA59" i="1" s="1"/>
  <c r="AZ67" i="1"/>
  <c r="AB91" i="1"/>
  <c r="AD84" i="1"/>
  <c r="AC88" i="1"/>
  <c r="AZ86" i="1" l="1"/>
  <c r="AZ85" i="1"/>
  <c r="BA60" i="1"/>
  <c r="AD87" i="1"/>
  <c r="AC89" i="1"/>
  <c r="BA61" i="1" l="1"/>
  <c r="AC91" i="1"/>
  <c r="AE84" i="1"/>
  <c r="AD88" i="1"/>
  <c r="BA62" i="1" l="1"/>
  <c r="BB57" i="1" s="1"/>
  <c r="BB59" i="1" s="1"/>
  <c r="BA67" i="1"/>
  <c r="AE87" i="1"/>
  <c r="AD89" i="1"/>
  <c r="BA86" i="1" l="1"/>
  <c r="BA85" i="1"/>
  <c r="BB60" i="1"/>
  <c r="AD91" i="1"/>
  <c r="AF84" i="1"/>
  <c r="AE88" i="1"/>
  <c r="BB61" i="1" l="1"/>
  <c r="AF87" i="1"/>
  <c r="AE89" i="1"/>
  <c r="BB62" i="1" l="1"/>
  <c r="BC57" i="1" s="1"/>
  <c r="BC59" i="1" s="1"/>
  <c r="BB67" i="1"/>
  <c r="AE91" i="1"/>
  <c r="AG84" i="1"/>
  <c r="AF88" i="1"/>
  <c r="BB85" i="1" l="1"/>
  <c r="BB86" i="1"/>
  <c r="BC60" i="1"/>
  <c r="AG87" i="1"/>
  <c r="AF89" i="1"/>
  <c r="AH84" i="1" l="1"/>
  <c r="AH87" i="1" s="1"/>
  <c r="AG88" i="1"/>
  <c r="AG89" i="1" s="1"/>
  <c r="AG91" i="1" s="1"/>
  <c r="BC61" i="1"/>
  <c r="AF91" i="1"/>
  <c r="BC62" i="1" l="1"/>
  <c r="BD57" i="1" s="1"/>
  <c r="BD59" i="1" s="1"/>
  <c r="BC67" i="1"/>
  <c r="AI84" i="1"/>
  <c r="AH88" i="1"/>
  <c r="BC85" i="1" l="1"/>
  <c r="BC86" i="1"/>
  <c r="BD60" i="1"/>
  <c r="AI87" i="1"/>
  <c r="AH89" i="1"/>
  <c r="BD61" i="1" l="1"/>
  <c r="AH91" i="1"/>
  <c r="AJ84" i="1"/>
  <c r="AI88" i="1"/>
  <c r="BD62" i="1" l="1"/>
  <c r="BE57" i="1" s="1"/>
  <c r="BE59" i="1" s="1"/>
  <c r="BD67" i="1"/>
  <c r="AJ87" i="1"/>
  <c r="AI89" i="1"/>
  <c r="BD86" i="1" l="1"/>
  <c r="BD85" i="1"/>
  <c r="BE60" i="1"/>
  <c r="AI91" i="1"/>
  <c r="AK84" i="1"/>
  <c r="AJ88" i="1"/>
  <c r="BE61" i="1" l="1"/>
  <c r="AK87" i="1"/>
  <c r="AJ89" i="1"/>
  <c r="BE62" i="1" l="1"/>
  <c r="BF57" i="1" s="1"/>
  <c r="BF59" i="1" s="1"/>
  <c r="BE67" i="1"/>
  <c r="AJ91" i="1"/>
  <c r="AL84" i="1"/>
  <c r="AK88" i="1"/>
  <c r="BE86" i="1" l="1"/>
  <c r="BE85" i="1"/>
  <c r="BF60" i="1"/>
  <c r="BF61" i="1" s="1"/>
  <c r="BF62" i="1" s="1"/>
  <c r="BG57" i="1" s="1"/>
  <c r="AL87" i="1"/>
  <c r="AK89" i="1"/>
  <c r="BF67" i="1" l="1"/>
  <c r="AK91" i="1"/>
  <c r="BG59" i="1"/>
  <c r="AM84" i="1"/>
  <c r="AL88" i="1"/>
  <c r="BF86" i="1" l="1"/>
  <c r="BF85" i="1"/>
  <c r="BG60" i="1"/>
  <c r="AM87" i="1"/>
  <c r="AL89" i="1"/>
  <c r="BG61" i="1" l="1"/>
  <c r="AL91" i="1"/>
  <c r="AN84" i="1"/>
  <c r="AM88" i="1"/>
  <c r="BG62" i="1" l="1"/>
  <c r="BH57" i="1" s="1"/>
  <c r="BH59" i="1" s="1"/>
  <c r="BG67" i="1"/>
  <c r="AN87" i="1"/>
  <c r="AM89" i="1"/>
  <c r="BG85" i="1" l="1"/>
  <c r="BG86" i="1"/>
  <c r="AO84" i="1"/>
  <c r="AO87" i="1" s="1"/>
  <c r="AN88" i="1"/>
  <c r="AN89" i="1" s="1"/>
  <c r="AN91" i="1" s="1"/>
  <c r="BH60" i="1"/>
  <c r="AM91" i="1"/>
  <c r="AP84" i="1" l="1"/>
  <c r="AP87" i="1" s="1"/>
  <c r="AO88" i="1"/>
  <c r="AO89" i="1" s="1"/>
  <c r="AO91" i="1" s="1"/>
  <c r="BH61" i="1"/>
  <c r="AQ84" i="1" l="1"/>
  <c r="AQ87" i="1" s="1"/>
  <c r="AP88" i="1"/>
  <c r="AP89" i="1" s="1"/>
  <c r="BH67" i="1"/>
  <c r="BH62" i="1"/>
  <c r="BI57" i="1" s="1"/>
  <c r="AR84" i="1" l="1"/>
  <c r="AR87" i="1" s="1"/>
  <c r="AS84" i="1" s="1"/>
  <c r="AQ88" i="1"/>
  <c r="AQ89" i="1" s="1"/>
  <c r="AQ91" i="1" s="1"/>
  <c r="AP91" i="1"/>
  <c r="BH85" i="1"/>
  <c r="BH86" i="1"/>
  <c r="BI59" i="1"/>
  <c r="AR88" i="1" l="1"/>
  <c r="AR89" i="1" s="1"/>
  <c r="AS87" i="1"/>
  <c r="BI60" i="1"/>
  <c r="AT84" i="1" l="1"/>
  <c r="AT87" i="1" s="1"/>
  <c r="AS88" i="1"/>
  <c r="AS89" i="1" s="1"/>
  <c r="AS91" i="1" s="1"/>
  <c r="AR91" i="1"/>
  <c r="BI61" i="1"/>
  <c r="BI62" i="1" l="1"/>
  <c r="BJ57" i="1" s="1"/>
  <c r="BJ59" i="1" s="1"/>
  <c r="BI67" i="1"/>
  <c r="AU84" i="1"/>
  <c r="AT88" i="1"/>
  <c r="BI86" i="1" l="1"/>
  <c r="BI85" i="1"/>
  <c r="BJ60" i="1"/>
  <c r="AU87" i="1"/>
  <c r="AT89" i="1"/>
  <c r="BJ61" i="1" l="1"/>
  <c r="AT91" i="1"/>
  <c r="AV84" i="1"/>
  <c r="AU88" i="1"/>
  <c r="BJ62" i="1" l="1"/>
  <c r="BK57" i="1" s="1"/>
  <c r="BK59" i="1" s="1"/>
  <c r="BJ67" i="1"/>
  <c r="AV87" i="1"/>
  <c r="AU89" i="1"/>
  <c r="BJ86" i="1" l="1"/>
  <c r="BJ85" i="1"/>
  <c r="BK60" i="1"/>
  <c r="AU91" i="1"/>
  <c r="AW84" i="1"/>
  <c r="AV88" i="1"/>
  <c r="BK61" i="1" l="1"/>
  <c r="AW87" i="1"/>
  <c r="AV89" i="1"/>
  <c r="BK62" i="1" l="1"/>
  <c r="BL57" i="1" s="1"/>
  <c r="BL59" i="1" s="1"/>
  <c r="BK67" i="1"/>
  <c r="AV91" i="1"/>
  <c r="AX84" i="1"/>
  <c r="AW88" i="1"/>
  <c r="BK86" i="1" l="1"/>
  <c r="BK85" i="1"/>
  <c r="BL60" i="1"/>
  <c r="AX87" i="1"/>
  <c r="AW89" i="1"/>
  <c r="BL61" i="1" l="1"/>
  <c r="AW91" i="1"/>
  <c r="AY84" i="1"/>
  <c r="AX88" i="1"/>
  <c r="BL62" i="1" l="1"/>
  <c r="BM57" i="1" s="1"/>
  <c r="BM59" i="1" s="1"/>
  <c r="BL67" i="1"/>
  <c r="AY87" i="1"/>
  <c r="AX89" i="1"/>
  <c r="BL85" i="1" l="1"/>
  <c r="BL86" i="1"/>
  <c r="BM60" i="1"/>
  <c r="AX91" i="1"/>
  <c r="AZ84" i="1"/>
  <c r="AY88" i="1"/>
  <c r="BM61" i="1" l="1"/>
  <c r="AZ87" i="1"/>
  <c r="AY89" i="1"/>
  <c r="BM62" i="1" l="1"/>
  <c r="BN57" i="1" s="1"/>
  <c r="BN59" i="1" s="1"/>
  <c r="BM67" i="1"/>
  <c r="AY91" i="1"/>
  <c r="BA84" i="1"/>
  <c r="AZ88" i="1"/>
  <c r="BM86" i="1" l="1"/>
  <c r="BM85" i="1"/>
  <c r="BN60" i="1"/>
  <c r="BA87" i="1"/>
  <c r="AZ89" i="1"/>
  <c r="BN61" i="1" l="1"/>
  <c r="AZ91" i="1"/>
  <c r="BB84" i="1"/>
  <c r="BA88" i="1"/>
  <c r="BN62" i="1" l="1"/>
  <c r="BO57" i="1" s="1"/>
  <c r="BO59" i="1" s="1"/>
  <c r="BN67" i="1"/>
  <c r="BB87" i="1"/>
  <c r="BA89" i="1"/>
  <c r="BN86" i="1" l="1"/>
  <c r="BN85" i="1"/>
  <c r="BO60" i="1"/>
  <c r="BA91" i="1"/>
  <c r="BC84" i="1"/>
  <c r="BB88" i="1"/>
  <c r="BO61" i="1" l="1"/>
  <c r="BC87" i="1"/>
  <c r="BB89" i="1"/>
  <c r="BO62" i="1" l="1"/>
  <c r="BP57" i="1" s="1"/>
  <c r="BP59" i="1" s="1"/>
  <c r="BO67" i="1"/>
  <c r="BB91" i="1"/>
  <c r="BD84" i="1"/>
  <c r="BC88" i="1"/>
  <c r="BO86" i="1" l="1"/>
  <c r="BO85" i="1"/>
  <c r="BP60" i="1"/>
  <c r="BD87" i="1"/>
  <c r="BC89" i="1"/>
  <c r="BP61" i="1" l="1"/>
  <c r="BC91" i="1"/>
  <c r="BE84" i="1"/>
  <c r="BD88" i="1"/>
  <c r="BP62" i="1" l="1"/>
  <c r="BQ57" i="1" s="1"/>
  <c r="BQ59" i="1" s="1"/>
  <c r="BP67" i="1"/>
  <c r="BE87" i="1"/>
  <c r="BD89" i="1"/>
  <c r="BP86" i="1" l="1"/>
  <c r="BP85" i="1"/>
  <c r="BQ60" i="1"/>
  <c r="BD91" i="1"/>
  <c r="BF84" i="1"/>
  <c r="BE88" i="1"/>
  <c r="BQ61" i="1" l="1"/>
  <c r="BF87" i="1"/>
  <c r="BE89" i="1"/>
  <c r="BE91" i="1" l="1"/>
  <c r="BQ62" i="1"/>
  <c r="BR57" i="1" s="1"/>
  <c r="BQ67" i="1"/>
  <c r="BG84" i="1"/>
  <c r="BF88" i="1"/>
  <c r="BR59" i="1" l="1"/>
  <c r="BQ86" i="1"/>
  <c r="BQ85" i="1"/>
  <c r="BG87" i="1"/>
  <c r="BF89" i="1"/>
  <c r="BR60" i="1" l="1"/>
  <c r="BF91" i="1"/>
  <c r="BH84" i="1"/>
  <c r="BG88" i="1"/>
  <c r="BR61" i="1" l="1"/>
  <c r="BH87" i="1"/>
  <c r="BG89" i="1"/>
  <c r="BR67" i="1" l="1"/>
  <c r="BR62" i="1"/>
  <c r="BS57" i="1" s="1"/>
  <c r="BS59" i="1" s="1"/>
  <c r="BI84" i="1"/>
  <c r="BI87" i="1" s="1"/>
  <c r="BH88" i="1"/>
  <c r="BH89" i="1" s="1"/>
  <c r="BH91" i="1" s="1"/>
  <c r="BG91" i="1"/>
  <c r="BR86" i="1" l="1"/>
  <c r="BR85" i="1"/>
  <c r="BS60" i="1"/>
  <c r="BJ84" i="1"/>
  <c r="BI88" i="1"/>
  <c r="BS61" i="1" l="1"/>
  <c r="BJ87" i="1"/>
  <c r="BI89" i="1"/>
  <c r="BS62" i="1" l="1"/>
  <c r="BT57" i="1" s="1"/>
  <c r="BT59" i="1" s="1"/>
  <c r="BS67" i="1"/>
  <c r="BI91" i="1"/>
  <c r="BK84" i="1"/>
  <c r="BJ88" i="1"/>
  <c r="BS86" i="1" l="1"/>
  <c r="BS85" i="1"/>
  <c r="BT60" i="1"/>
  <c r="BK87" i="1"/>
  <c r="BJ89" i="1"/>
  <c r="BT61" i="1" l="1"/>
  <c r="BJ91" i="1"/>
  <c r="BL84" i="1"/>
  <c r="BK88" i="1"/>
  <c r="BT62" i="1" l="1"/>
  <c r="BU57" i="1" s="1"/>
  <c r="BU59" i="1" s="1"/>
  <c r="BT67" i="1"/>
  <c r="BL87" i="1"/>
  <c r="BK89" i="1"/>
  <c r="BT86" i="1" l="1"/>
  <c r="BT85" i="1"/>
  <c r="BU60" i="1"/>
  <c r="BK91" i="1"/>
  <c r="BM84" i="1"/>
  <c r="BL88" i="1"/>
  <c r="BU61" i="1" l="1"/>
  <c r="BM87" i="1"/>
  <c r="BL89" i="1"/>
  <c r="BU62" i="1" l="1"/>
  <c r="BV57" i="1" s="1"/>
  <c r="BV59" i="1" s="1"/>
  <c r="BU67" i="1"/>
  <c r="BL91" i="1"/>
  <c r="BN84" i="1"/>
  <c r="BM88" i="1"/>
  <c r="BU85" i="1" l="1"/>
  <c r="BU86" i="1"/>
  <c r="BV60" i="1"/>
  <c r="BN87" i="1"/>
  <c r="BM89" i="1"/>
  <c r="BV61" i="1" l="1"/>
  <c r="BM91" i="1"/>
  <c r="BO84" i="1"/>
  <c r="BN88" i="1"/>
  <c r="BO87" i="1" l="1"/>
  <c r="BN89" i="1"/>
  <c r="BV62" i="1"/>
  <c r="BW57" i="1" s="1"/>
  <c r="BV67" i="1"/>
  <c r="BN91" i="1" l="1"/>
  <c r="BW59" i="1"/>
  <c r="BV85" i="1"/>
  <c r="BV86" i="1"/>
  <c r="BP84" i="1"/>
  <c r="BO88" i="1"/>
  <c r="BW60" i="1" l="1"/>
  <c r="BW61" i="1" s="1"/>
  <c r="BW62" i="1" s="1"/>
  <c r="BX57" i="1" s="1"/>
  <c r="BP87" i="1"/>
  <c r="BO89" i="1"/>
  <c r="BW67" i="1" l="1"/>
  <c r="BO91" i="1"/>
  <c r="BX59" i="1"/>
  <c r="BQ84" i="1"/>
  <c r="BP88" i="1"/>
  <c r="BW86" i="1" l="1"/>
  <c r="BW85" i="1"/>
  <c r="BX60" i="1"/>
  <c r="BQ87" i="1"/>
  <c r="BP89" i="1"/>
  <c r="BX61" i="1" l="1"/>
  <c r="BP91" i="1"/>
  <c r="BR84" i="1"/>
  <c r="BQ88" i="1"/>
  <c r="BX62" i="1" l="1"/>
  <c r="BY57" i="1" s="1"/>
  <c r="BY59" i="1" s="1"/>
  <c r="BX67" i="1"/>
  <c r="BR87" i="1"/>
  <c r="BQ89" i="1"/>
  <c r="BX85" i="1" l="1"/>
  <c r="BX86" i="1"/>
  <c r="BY60" i="1"/>
  <c r="BQ91" i="1"/>
  <c r="BS84" i="1"/>
  <c r="BR88" i="1"/>
  <c r="BY61" i="1" l="1"/>
  <c r="BS87" i="1"/>
  <c r="BR89" i="1"/>
  <c r="BR91" i="1" l="1"/>
  <c r="BY62" i="1"/>
  <c r="BZ57" i="1" s="1"/>
  <c r="BY67" i="1"/>
  <c r="BT84" i="1"/>
  <c r="BS88" i="1"/>
  <c r="BZ59" i="1" l="1"/>
  <c r="BY85" i="1"/>
  <c r="BY86" i="1"/>
  <c r="BT87" i="1"/>
  <c r="BS89" i="1"/>
  <c r="BZ60" i="1" l="1"/>
  <c r="BS91" i="1"/>
  <c r="BU84" i="1"/>
  <c r="BT88" i="1"/>
  <c r="BZ61" i="1" l="1"/>
  <c r="BU87" i="1"/>
  <c r="BT89" i="1"/>
  <c r="BZ62" i="1" l="1"/>
  <c r="CA57" i="1" s="1"/>
  <c r="CA59" i="1" s="1"/>
  <c r="BZ67" i="1"/>
  <c r="BT91" i="1"/>
  <c r="BV84" i="1"/>
  <c r="BU88" i="1"/>
  <c r="BZ86" i="1" l="1"/>
  <c r="BZ85" i="1"/>
  <c r="CA60" i="1"/>
  <c r="BV87" i="1"/>
  <c r="BU89" i="1"/>
  <c r="CA61" i="1" l="1"/>
  <c r="BU91" i="1"/>
  <c r="BW84" i="1"/>
  <c r="BV88" i="1"/>
  <c r="BW87" i="1" l="1"/>
  <c r="BV89" i="1"/>
  <c r="CA62" i="1"/>
  <c r="CB57" i="1" s="1"/>
  <c r="CA67" i="1"/>
  <c r="BV91" i="1" l="1"/>
  <c r="CB59" i="1"/>
  <c r="CA85" i="1"/>
  <c r="CA86" i="1"/>
  <c r="BX84" i="1"/>
  <c r="BW88" i="1"/>
  <c r="CB60" i="1" l="1"/>
  <c r="BX87" i="1"/>
  <c r="BW89" i="1"/>
  <c r="CB61" i="1" l="1"/>
  <c r="BW91" i="1"/>
  <c r="BY84" i="1"/>
  <c r="BX88" i="1"/>
  <c r="BY87" i="1" l="1"/>
  <c r="BX89" i="1"/>
  <c r="CB62" i="1"/>
  <c r="CC57" i="1" s="1"/>
  <c r="CB67" i="1"/>
  <c r="BX91" i="1" l="1"/>
  <c r="CC59" i="1"/>
  <c r="CB85" i="1"/>
  <c r="CB86" i="1"/>
  <c r="BZ84" i="1"/>
  <c r="BY88" i="1"/>
  <c r="CC60" i="1" l="1"/>
  <c r="BZ87" i="1"/>
  <c r="BY89" i="1"/>
  <c r="CC61" i="1" l="1"/>
  <c r="BY91" i="1"/>
  <c r="CA84" i="1"/>
  <c r="BZ88" i="1"/>
  <c r="CC67" i="1" l="1"/>
  <c r="CC62" i="1"/>
  <c r="CD57" i="1" s="1"/>
  <c r="CD59" i="1" s="1"/>
  <c r="CA87" i="1"/>
  <c r="BZ89" i="1"/>
  <c r="CC86" i="1" l="1"/>
  <c r="CC85" i="1"/>
  <c r="CD60" i="1"/>
  <c r="BZ91" i="1"/>
  <c r="CB84" i="1"/>
  <c r="CA88" i="1"/>
  <c r="CD61" i="1" l="1"/>
  <c r="CB87" i="1"/>
  <c r="CA89" i="1"/>
  <c r="CD62" i="1" l="1"/>
  <c r="CE57" i="1" s="1"/>
  <c r="CE59" i="1" s="1"/>
  <c r="CD67" i="1"/>
  <c r="CA91" i="1"/>
  <c r="CC84" i="1"/>
  <c r="CB88" i="1"/>
  <c r="CD85" i="1" l="1"/>
  <c r="CD86" i="1"/>
  <c r="CE60" i="1"/>
  <c r="CC87" i="1"/>
  <c r="CB89" i="1"/>
  <c r="CD84" i="1" l="1"/>
  <c r="CD87" i="1" s="1"/>
  <c r="CC88" i="1"/>
  <c r="CC89" i="1" s="1"/>
  <c r="CC91" i="1" s="1"/>
  <c r="CE61" i="1"/>
  <c r="CB91" i="1"/>
  <c r="CE62" i="1" l="1"/>
  <c r="CF57" i="1" s="1"/>
  <c r="CF59" i="1" s="1"/>
  <c r="CE67" i="1"/>
  <c r="CE84" i="1"/>
  <c r="CD88" i="1"/>
  <c r="CE85" i="1" l="1"/>
  <c r="CE86" i="1"/>
  <c r="CF60" i="1"/>
  <c r="CD89" i="1"/>
  <c r="CE87" i="1" l="1"/>
  <c r="CF61" i="1"/>
  <c r="CD91" i="1"/>
  <c r="CE88" i="1" l="1"/>
  <c r="CE89" i="1" s="1"/>
  <c r="CF84" i="1"/>
  <c r="CF62" i="1"/>
  <c r="CG57" i="1" s="1"/>
  <c r="CG59" i="1" s="1"/>
  <c r="CF67" i="1"/>
  <c r="CF85" i="1" l="1"/>
  <c r="CF86" i="1"/>
  <c r="CG60" i="1"/>
  <c r="CE91" i="1"/>
  <c r="CF87" i="1" l="1"/>
  <c r="CG61" i="1"/>
  <c r="CG84" i="1" l="1"/>
  <c r="CF88" i="1"/>
  <c r="CF89" i="1" s="1"/>
  <c r="CF91" i="1" s="1"/>
  <c r="CG62" i="1"/>
  <c r="CH57" i="1" s="1"/>
  <c r="CH59" i="1" s="1"/>
  <c r="CG67" i="1"/>
  <c r="CG85" i="1" l="1"/>
  <c r="CG86" i="1"/>
  <c r="CH60" i="1"/>
  <c r="CG87" i="1" l="1"/>
  <c r="CH61" i="1"/>
  <c r="CG88" i="1" l="1"/>
  <c r="CG89" i="1" s="1"/>
  <c r="CH84" i="1"/>
  <c r="CH62" i="1"/>
  <c r="CI57" i="1" s="1"/>
  <c r="CI59" i="1" s="1"/>
  <c r="CH67" i="1"/>
  <c r="CH86" i="1" l="1"/>
  <c r="CH85" i="1"/>
  <c r="CI60" i="1"/>
  <c r="CG91" i="1"/>
  <c r="CH87" i="1" l="1"/>
  <c r="CI61" i="1"/>
  <c r="CI84" i="1" l="1"/>
  <c r="CH88" i="1"/>
  <c r="CH89" i="1" s="1"/>
  <c r="CH91" i="1" s="1"/>
  <c r="CI67" i="1"/>
  <c r="CI62" i="1"/>
  <c r="CJ57" i="1" s="1"/>
  <c r="CI85" i="1" l="1"/>
  <c r="CI86" i="1"/>
  <c r="CJ59" i="1"/>
  <c r="CI87" i="1" l="1"/>
  <c r="CJ60" i="1"/>
  <c r="CJ84" i="1" l="1"/>
  <c r="CI88" i="1"/>
  <c r="CI89" i="1" s="1"/>
  <c r="CJ61" i="1"/>
  <c r="CJ62" i="1" l="1"/>
  <c r="CK57" i="1" s="1"/>
  <c r="CK59" i="1" s="1"/>
  <c r="CJ67" i="1"/>
  <c r="CI91" i="1"/>
  <c r="CJ86" i="1" l="1"/>
  <c r="CJ85" i="1"/>
  <c r="CK60" i="1"/>
  <c r="CJ87" i="1" l="1"/>
  <c r="CK61" i="1"/>
  <c r="CK84" i="1" l="1"/>
  <c r="CJ88" i="1"/>
  <c r="CJ89" i="1" s="1"/>
  <c r="CK62" i="1"/>
  <c r="CL57" i="1" s="1"/>
  <c r="CL59" i="1" s="1"/>
  <c r="CK67" i="1"/>
  <c r="CK86" i="1" l="1"/>
  <c r="CK85" i="1"/>
  <c r="CL60" i="1"/>
  <c r="CJ91" i="1"/>
  <c r="CK87" i="1" l="1"/>
  <c r="CL61" i="1"/>
  <c r="CL84" i="1" l="1"/>
  <c r="CK88" i="1"/>
  <c r="CK89" i="1" s="1"/>
  <c r="CK91" i="1" s="1"/>
  <c r="CL62" i="1"/>
  <c r="CM57" i="1" s="1"/>
  <c r="CM59" i="1" s="1"/>
  <c r="CL67" i="1"/>
  <c r="CL85" i="1" l="1"/>
  <c r="CL86" i="1"/>
  <c r="CM60" i="1"/>
  <c r="CL87" i="1" l="1"/>
  <c r="CM61" i="1"/>
  <c r="CM84" i="1" l="1"/>
  <c r="CL88" i="1"/>
  <c r="CL89" i="1" s="1"/>
  <c r="CM67" i="1"/>
  <c r="CM62" i="1"/>
  <c r="CN57" i="1" s="1"/>
  <c r="CL91" i="1" l="1"/>
  <c r="CM85" i="1"/>
  <c r="CM86" i="1"/>
  <c r="CN59" i="1"/>
  <c r="CM87" i="1" l="1"/>
  <c r="CN60" i="1"/>
  <c r="CN61" i="1" l="1"/>
  <c r="CN84" i="1"/>
  <c r="CM88" i="1"/>
  <c r="CN67" i="1" l="1"/>
  <c r="CN62" i="1"/>
  <c r="CO57" i="1" s="1"/>
  <c r="CO59" i="1" s="1"/>
  <c r="CM89" i="1"/>
  <c r="CN86" i="1" l="1"/>
  <c r="CN85" i="1"/>
  <c r="CO60" i="1"/>
  <c r="CM91" i="1"/>
  <c r="CN87" i="1" l="1"/>
  <c r="CO61" i="1"/>
  <c r="CN88" i="1" l="1"/>
  <c r="CN89" i="1" s="1"/>
  <c r="CN91" i="1" s="1"/>
  <c r="CO84" i="1"/>
  <c r="CO67" i="1"/>
  <c r="CO62" i="1"/>
  <c r="CP57" i="1" s="1"/>
  <c r="CO85" i="1" l="1"/>
  <c r="CO86" i="1"/>
  <c r="CP59" i="1"/>
  <c r="CO87" i="1" l="1"/>
  <c r="CP60" i="1"/>
  <c r="CP84" i="1" l="1"/>
  <c r="CO88" i="1"/>
  <c r="CO89" i="1" s="1"/>
  <c r="CP61" i="1"/>
  <c r="CP62" i="1" l="1"/>
  <c r="CQ57" i="1" s="1"/>
  <c r="CQ59" i="1" s="1"/>
  <c r="CP67" i="1"/>
  <c r="CO91" i="1"/>
  <c r="CP85" i="1" l="1"/>
  <c r="CP86" i="1"/>
  <c r="CQ60" i="1"/>
  <c r="CP87" i="1" l="1"/>
  <c r="CQ61" i="1"/>
  <c r="CQ84" i="1" l="1"/>
  <c r="CP88" i="1"/>
  <c r="CP89" i="1" s="1"/>
  <c r="CQ67" i="1"/>
  <c r="CQ62" i="1"/>
  <c r="CR57" i="1" s="1"/>
  <c r="CP91" i="1" l="1"/>
  <c r="CQ85" i="1"/>
  <c r="CQ86" i="1"/>
  <c r="CR59" i="1"/>
  <c r="CQ87" i="1" l="1"/>
  <c r="CR60" i="1"/>
  <c r="CR61" i="1" l="1"/>
  <c r="CR84" i="1"/>
  <c r="CQ88" i="1"/>
  <c r="CR62" i="1" l="1"/>
  <c r="CS57" i="1" s="1"/>
  <c r="CS59" i="1" s="1"/>
  <c r="CR67" i="1"/>
  <c r="CQ89" i="1"/>
  <c r="CR86" i="1" l="1"/>
  <c r="CR85" i="1"/>
  <c r="CS60" i="1"/>
  <c r="CQ91" i="1"/>
  <c r="CR87" i="1" l="1"/>
  <c r="CS61" i="1"/>
  <c r="CR88" i="1" l="1"/>
  <c r="CR89" i="1" s="1"/>
  <c r="CR91" i="1" s="1"/>
  <c r="CS84" i="1"/>
  <c r="CS62" i="1"/>
  <c r="CT57" i="1" s="1"/>
  <c r="CT59" i="1" s="1"/>
  <c r="CS67" i="1"/>
  <c r="CS85" i="1" l="1"/>
  <c r="CS86" i="1"/>
  <c r="CT60" i="1"/>
  <c r="CT61" i="1" s="1"/>
  <c r="CT62" i="1" s="1"/>
  <c r="CU57" i="1" s="1"/>
  <c r="CS87" i="1" l="1"/>
  <c r="CT67" i="1"/>
  <c r="CU59" i="1"/>
  <c r="CS88" i="1" l="1"/>
  <c r="CS89" i="1" s="1"/>
  <c r="CT84" i="1"/>
  <c r="CT86" i="1"/>
  <c r="CT85" i="1"/>
  <c r="CU60" i="1"/>
  <c r="CT87" i="1" l="1"/>
  <c r="CU61" i="1"/>
  <c r="CS91" i="1"/>
  <c r="CU84" i="1" l="1"/>
  <c r="CT88" i="1"/>
  <c r="CT89" i="1" s="1"/>
  <c r="CU62" i="1"/>
  <c r="CV57" i="1" s="1"/>
  <c r="CV59" i="1" s="1"/>
  <c r="CU67" i="1"/>
  <c r="CU86" i="1" l="1"/>
  <c r="CU85" i="1"/>
  <c r="CV60" i="1"/>
  <c r="CT91" i="1"/>
  <c r="CU87" i="1" l="1"/>
  <c r="CV61" i="1"/>
  <c r="CV84" i="1" l="1"/>
  <c r="CU88" i="1"/>
  <c r="CU89" i="1" s="1"/>
  <c r="CU91" i="1" s="1"/>
  <c r="CV62" i="1"/>
  <c r="CW57" i="1" s="1"/>
  <c r="CW59" i="1" s="1"/>
  <c r="CV67" i="1"/>
  <c r="CV86" i="1" l="1"/>
  <c r="CV85" i="1"/>
  <c r="CW60" i="1"/>
  <c r="CV87" i="1" l="1"/>
  <c r="CW61" i="1"/>
  <c r="CV88" i="1" l="1"/>
  <c r="CV89" i="1" s="1"/>
  <c r="CW84" i="1"/>
  <c r="CW62" i="1"/>
  <c r="CX57" i="1" s="1"/>
  <c r="CX59" i="1" s="1"/>
  <c r="CW67" i="1"/>
  <c r="CW86" i="1" l="1"/>
  <c r="CW85" i="1"/>
  <c r="CX60" i="1"/>
  <c r="CV91" i="1"/>
  <c r="CW87" i="1" l="1"/>
  <c r="CX61" i="1"/>
  <c r="CW88" i="1" l="1"/>
  <c r="CW89" i="1" s="1"/>
  <c r="CX84" i="1"/>
  <c r="CX62" i="1"/>
  <c r="CY57" i="1" s="1"/>
  <c r="CY59" i="1" s="1"/>
  <c r="CX67" i="1"/>
  <c r="CX86" i="1" l="1"/>
  <c r="CX85" i="1"/>
  <c r="CY60" i="1"/>
  <c r="CW91" i="1"/>
  <c r="CX87" i="1" l="1"/>
  <c r="CY61" i="1"/>
  <c r="CY84" i="1" l="1"/>
  <c r="CX88" i="1"/>
  <c r="CX89" i="1" s="1"/>
  <c r="CX91" i="1" s="1"/>
  <c r="CY62" i="1"/>
  <c r="CZ57" i="1" s="1"/>
  <c r="CY67" i="1"/>
  <c r="CZ59" i="1" l="1"/>
  <c r="CY85" i="1"/>
  <c r="CY86" i="1"/>
  <c r="CZ60" i="1" l="1"/>
  <c r="CY87" i="1"/>
  <c r="CZ61" i="1" l="1"/>
  <c r="CZ84" i="1"/>
  <c r="CY88" i="1"/>
  <c r="CZ62" i="1" l="1"/>
  <c r="DA57" i="1" s="1"/>
  <c r="DA59" i="1" s="1"/>
  <c r="CZ67" i="1"/>
  <c r="CY89" i="1"/>
  <c r="CZ86" i="1" l="1"/>
  <c r="CZ85" i="1"/>
  <c r="DA60" i="1"/>
  <c r="CY91" i="1"/>
  <c r="CZ87" i="1" l="1"/>
  <c r="DA61" i="1"/>
  <c r="DA84" i="1" l="1"/>
  <c r="CZ88" i="1"/>
  <c r="CZ89" i="1" s="1"/>
  <c r="CZ91" i="1" s="1"/>
  <c r="DA62" i="1"/>
  <c r="DB57" i="1" s="1"/>
  <c r="DA67" i="1"/>
  <c r="DB59" i="1" l="1"/>
  <c r="DA85" i="1"/>
  <c r="DA86" i="1"/>
  <c r="U59" i="1" l="1"/>
  <c r="E67" i="1" s="1"/>
  <c r="DB60" i="1"/>
  <c r="DA87" i="1"/>
  <c r="E80" i="1" l="1"/>
  <c r="E69" i="1"/>
  <c r="G67" i="1" s="1"/>
  <c r="DB61" i="1"/>
  <c r="U60" i="1"/>
  <c r="DB84" i="1"/>
  <c r="DA88" i="1"/>
  <c r="U61" i="1" l="1"/>
  <c r="K16" i="1" s="1"/>
  <c r="J16" i="1" s="1"/>
  <c r="DB62" i="1"/>
  <c r="DB67" i="1"/>
  <c r="E81" i="1"/>
  <c r="F80" i="1" s="1"/>
  <c r="D80" i="1"/>
  <c r="D81" i="1" s="1"/>
  <c r="C69" i="1"/>
  <c r="D69" i="1" s="1"/>
  <c r="G37" i="1"/>
  <c r="G46" i="1"/>
  <c r="G45" i="1"/>
  <c r="G36" i="1"/>
  <c r="G58" i="1"/>
  <c r="G56" i="1"/>
  <c r="G54" i="1"/>
  <c r="G33" i="1"/>
  <c r="G32" i="1"/>
  <c r="G31" i="1"/>
  <c r="G53" i="1"/>
  <c r="G34" i="1"/>
  <c r="G39" i="1"/>
  <c r="G52" i="1"/>
  <c r="G38" i="1"/>
  <c r="G40" i="1"/>
  <c r="G41" i="1"/>
  <c r="G35" i="1"/>
  <c r="G55" i="1"/>
  <c r="G57" i="1"/>
  <c r="G59" i="1"/>
  <c r="G60" i="1"/>
  <c r="G64" i="1"/>
  <c r="G63" i="1"/>
  <c r="G44" i="1"/>
  <c r="G47" i="1"/>
  <c r="DA89" i="1"/>
  <c r="DB86" i="1" l="1"/>
  <c r="U86" i="1" s="1"/>
  <c r="U67" i="1"/>
  <c r="DB85" i="1"/>
  <c r="G65" i="1"/>
  <c r="G69" i="1" s="1"/>
  <c r="F73" i="1"/>
  <c r="F74" i="1"/>
  <c r="F76" i="1"/>
  <c r="F78" i="1"/>
  <c r="F75" i="1"/>
  <c r="F79" i="1"/>
  <c r="F81" i="1" s="1"/>
  <c r="DA91" i="1"/>
  <c r="DB69" i="1" l="1"/>
  <c r="DB70" i="1" s="1"/>
  <c r="DB72" i="1" s="1"/>
  <c r="DB79" i="1" s="1"/>
  <c r="CZ69" i="1"/>
  <c r="CZ70" i="1" s="1"/>
  <c r="CZ72" i="1" s="1"/>
  <c r="CZ79" i="1" s="1"/>
  <c r="DA69" i="1"/>
  <c r="DA70" i="1" s="1"/>
  <c r="DA72" i="1" s="1"/>
  <c r="DA79" i="1" s="1"/>
  <c r="CY69" i="1"/>
  <c r="CY70" i="1" s="1"/>
  <c r="CY72" i="1" s="1"/>
  <c r="CY79" i="1" s="1"/>
  <c r="CX69" i="1"/>
  <c r="CX70" i="1" s="1"/>
  <c r="CX72" i="1" s="1"/>
  <c r="CX79" i="1" s="1"/>
  <c r="CW69" i="1"/>
  <c r="CW70" i="1" s="1"/>
  <c r="CW72" i="1" s="1"/>
  <c r="CW79" i="1" s="1"/>
  <c r="CV69" i="1"/>
  <c r="CV70" i="1" s="1"/>
  <c r="CV72" i="1" s="1"/>
  <c r="CV79" i="1" s="1"/>
  <c r="CU69" i="1"/>
  <c r="CU70" i="1" s="1"/>
  <c r="CU72" i="1" s="1"/>
  <c r="CU79" i="1" s="1"/>
  <c r="CT69" i="1"/>
  <c r="CT70" i="1" s="1"/>
  <c r="CT72" i="1" s="1"/>
  <c r="CT79" i="1" s="1"/>
  <c r="CS69" i="1"/>
  <c r="CS70" i="1" s="1"/>
  <c r="CS72" i="1" s="1"/>
  <c r="CS79" i="1" s="1"/>
  <c r="CR69" i="1"/>
  <c r="CR70" i="1" s="1"/>
  <c r="CR72" i="1" s="1"/>
  <c r="CR79" i="1" s="1"/>
  <c r="CQ69" i="1"/>
  <c r="CQ70" i="1" s="1"/>
  <c r="CQ72" i="1" s="1"/>
  <c r="CQ79" i="1" s="1"/>
  <c r="CP69" i="1"/>
  <c r="CP70" i="1" s="1"/>
  <c r="CP72" i="1" s="1"/>
  <c r="CP79" i="1" s="1"/>
  <c r="CO69" i="1"/>
  <c r="CO70" i="1" s="1"/>
  <c r="CO72" i="1" s="1"/>
  <c r="CO79" i="1" s="1"/>
  <c r="CN69" i="1"/>
  <c r="CN70" i="1" s="1"/>
  <c r="CN72" i="1" s="1"/>
  <c r="CN79" i="1" s="1"/>
  <c r="CM69" i="1"/>
  <c r="CM70" i="1" s="1"/>
  <c r="CM72" i="1" s="1"/>
  <c r="CM79" i="1" s="1"/>
  <c r="CL69" i="1"/>
  <c r="CL70" i="1" s="1"/>
  <c r="CL72" i="1" s="1"/>
  <c r="CL79" i="1" s="1"/>
  <c r="CK69" i="1"/>
  <c r="CK70" i="1" s="1"/>
  <c r="CK72" i="1" s="1"/>
  <c r="CK79" i="1" s="1"/>
  <c r="CJ69" i="1"/>
  <c r="CJ70" i="1" s="1"/>
  <c r="CJ72" i="1" s="1"/>
  <c r="CJ79" i="1" s="1"/>
  <c r="BM69" i="1"/>
  <c r="BM70" i="1" s="1"/>
  <c r="BM72" i="1" s="1"/>
  <c r="BM79" i="1" s="1"/>
  <c r="CI69" i="1"/>
  <c r="CI70" i="1" s="1"/>
  <c r="CI72" i="1" s="1"/>
  <c r="CI79" i="1" s="1"/>
  <c r="CH69" i="1"/>
  <c r="CH70" i="1" s="1"/>
  <c r="CH72" i="1" s="1"/>
  <c r="CH79" i="1" s="1"/>
  <c r="CG69" i="1"/>
  <c r="CG70" i="1" s="1"/>
  <c r="CG72" i="1" s="1"/>
  <c r="CG79" i="1" s="1"/>
  <c r="CF69" i="1"/>
  <c r="CF70" i="1" s="1"/>
  <c r="CF72" i="1" s="1"/>
  <c r="CF79" i="1" s="1"/>
  <c r="CE69" i="1"/>
  <c r="CE70" i="1" s="1"/>
  <c r="CE72" i="1" s="1"/>
  <c r="CE79" i="1" s="1"/>
  <c r="CD69" i="1"/>
  <c r="CD70" i="1" s="1"/>
  <c r="CD72" i="1" s="1"/>
  <c r="CD79" i="1" s="1"/>
  <c r="CC69" i="1"/>
  <c r="CC70" i="1" s="1"/>
  <c r="CC72" i="1" s="1"/>
  <c r="CC79" i="1" s="1"/>
  <c r="CB69" i="1"/>
  <c r="CB70" i="1" s="1"/>
  <c r="CB72" i="1" s="1"/>
  <c r="CB79" i="1" s="1"/>
  <c r="CA69" i="1"/>
  <c r="CA70" i="1" s="1"/>
  <c r="CA72" i="1" s="1"/>
  <c r="CA79" i="1" s="1"/>
  <c r="BZ69" i="1"/>
  <c r="BZ70" i="1" s="1"/>
  <c r="BZ72" i="1" s="1"/>
  <c r="BZ79" i="1" s="1"/>
  <c r="BY69" i="1"/>
  <c r="BY70" i="1" s="1"/>
  <c r="BY72" i="1" s="1"/>
  <c r="BY79" i="1" s="1"/>
  <c r="BX69" i="1"/>
  <c r="BX70" i="1" s="1"/>
  <c r="BX72" i="1" s="1"/>
  <c r="BX79" i="1" s="1"/>
  <c r="BW69" i="1"/>
  <c r="BW70" i="1" s="1"/>
  <c r="BW72" i="1" s="1"/>
  <c r="BW79" i="1" s="1"/>
  <c r="BV69" i="1"/>
  <c r="BV70" i="1" s="1"/>
  <c r="BV72" i="1" s="1"/>
  <c r="BV79" i="1" s="1"/>
  <c r="BU69" i="1"/>
  <c r="BU70" i="1" s="1"/>
  <c r="BU72" i="1" s="1"/>
  <c r="BU79" i="1" s="1"/>
  <c r="BT69" i="1"/>
  <c r="BT70" i="1" s="1"/>
  <c r="BT72" i="1" s="1"/>
  <c r="BT79" i="1" s="1"/>
  <c r="BS69" i="1"/>
  <c r="BS70" i="1" s="1"/>
  <c r="BS72" i="1" s="1"/>
  <c r="BS79" i="1" s="1"/>
  <c r="BR69" i="1"/>
  <c r="BR70" i="1" s="1"/>
  <c r="BR72" i="1" s="1"/>
  <c r="BR79" i="1" s="1"/>
  <c r="BQ69" i="1"/>
  <c r="BQ70" i="1" s="1"/>
  <c r="BQ72" i="1" s="1"/>
  <c r="BQ79" i="1" s="1"/>
  <c r="BP69" i="1"/>
  <c r="BP70" i="1" s="1"/>
  <c r="BP72" i="1" s="1"/>
  <c r="BP79" i="1" s="1"/>
  <c r="BO69" i="1"/>
  <c r="BO70" i="1" s="1"/>
  <c r="BO72" i="1" s="1"/>
  <c r="BO79" i="1" s="1"/>
  <c r="BN69" i="1"/>
  <c r="BN70" i="1" s="1"/>
  <c r="BN72" i="1" s="1"/>
  <c r="BN79" i="1" s="1"/>
  <c r="BL69" i="1"/>
  <c r="BL70" i="1" s="1"/>
  <c r="BL72" i="1" s="1"/>
  <c r="BL79" i="1" s="1"/>
  <c r="BK69" i="1"/>
  <c r="BK70" i="1" s="1"/>
  <c r="BK72" i="1" s="1"/>
  <c r="BK79" i="1" s="1"/>
  <c r="BJ69" i="1"/>
  <c r="BJ70" i="1" s="1"/>
  <c r="BJ72" i="1" s="1"/>
  <c r="BJ79" i="1" s="1"/>
  <c r="BI69" i="1"/>
  <c r="BI70" i="1" s="1"/>
  <c r="BI72" i="1" s="1"/>
  <c r="BI79" i="1" s="1"/>
  <c r="BH69" i="1"/>
  <c r="BH70" i="1" s="1"/>
  <c r="BH72" i="1" s="1"/>
  <c r="BH79" i="1" s="1"/>
  <c r="BG69" i="1"/>
  <c r="BG70" i="1" s="1"/>
  <c r="BG72" i="1" s="1"/>
  <c r="BG79" i="1" s="1"/>
  <c r="BF69" i="1"/>
  <c r="BF70" i="1" s="1"/>
  <c r="BF72" i="1" s="1"/>
  <c r="BF79" i="1" s="1"/>
  <c r="BE69" i="1"/>
  <c r="BE70" i="1" s="1"/>
  <c r="BE72" i="1" s="1"/>
  <c r="BE79" i="1" s="1"/>
  <c r="BD69" i="1"/>
  <c r="BD70" i="1" s="1"/>
  <c r="BD72" i="1" s="1"/>
  <c r="BD79" i="1" s="1"/>
  <c r="BC69" i="1"/>
  <c r="BC70" i="1" s="1"/>
  <c r="BC72" i="1" s="1"/>
  <c r="BC79" i="1" s="1"/>
  <c r="BB69" i="1"/>
  <c r="BB70" i="1" s="1"/>
  <c r="BB72" i="1" s="1"/>
  <c r="BB79" i="1" s="1"/>
  <c r="AH69" i="1"/>
  <c r="AH70" i="1" s="1"/>
  <c r="AH72" i="1" s="1"/>
  <c r="AH79" i="1" s="1"/>
  <c r="AF69" i="1"/>
  <c r="AF70" i="1" s="1"/>
  <c r="AF72" i="1" s="1"/>
  <c r="AF79" i="1" s="1"/>
  <c r="BA69" i="1"/>
  <c r="BA70" i="1" s="1"/>
  <c r="BA72" i="1" s="1"/>
  <c r="BA79" i="1" s="1"/>
  <c r="AZ69" i="1"/>
  <c r="AZ70" i="1" s="1"/>
  <c r="AZ72" i="1" s="1"/>
  <c r="AZ79" i="1" s="1"/>
  <c r="AY69" i="1"/>
  <c r="AY70" i="1" s="1"/>
  <c r="AY72" i="1" s="1"/>
  <c r="AY79" i="1" s="1"/>
  <c r="AX69" i="1"/>
  <c r="AX70" i="1" s="1"/>
  <c r="AX72" i="1" s="1"/>
  <c r="AX79" i="1" s="1"/>
  <c r="AW69" i="1"/>
  <c r="AW70" i="1" s="1"/>
  <c r="AW72" i="1" s="1"/>
  <c r="AW79" i="1" s="1"/>
  <c r="AV69" i="1"/>
  <c r="AV70" i="1" s="1"/>
  <c r="AV72" i="1" s="1"/>
  <c r="AV79" i="1" s="1"/>
  <c r="AU69" i="1"/>
  <c r="AU70" i="1" s="1"/>
  <c r="AU72" i="1" s="1"/>
  <c r="AU79" i="1" s="1"/>
  <c r="AT69" i="1"/>
  <c r="AT70" i="1" s="1"/>
  <c r="AT72" i="1" s="1"/>
  <c r="AT79" i="1" s="1"/>
  <c r="AS69" i="1"/>
  <c r="AS70" i="1" s="1"/>
  <c r="AS72" i="1" s="1"/>
  <c r="AS79" i="1" s="1"/>
  <c r="AR69" i="1"/>
  <c r="AR70" i="1" s="1"/>
  <c r="AR72" i="1" s="1"/>
  <c r="AR79" i="1" s="1"/>
  <c r="AQ69" i="1"/>
  <c r="AQ70" i="1" s="1"/>
  <c r="AQ72" i="1" s="1"/>
  <c r="AQ79" i="1" s="1"/>
  <c r="AP69" i="1"/>
  <c r="AP70" i="1" s="1"/>
  <c r="AP72" i="1" s="1"/>
  <c r="AP79" i="1" s="1"/>
  <c r="AO69" i="1"/>
  <c r="AO70" i="1" s="1"/>
  <c r="AO72" i="1" s="1"/>
  <c r="AO79" i="1" s="1"/>
  <c r="AN69" i="1"/>
  <c r="AN70" i="1" s="1"/>
  <c r="AN72" i="1" s="1"/>
  <c r="AN79" i="1" s="1"/>
  <c r="AM69" i="1"/>
  <c r="AM70" i="1" s="1"/>
  <c r="AM72" i="1" s="1"/>
  <c r="AM79" i="1" s="1"/>
  <c r="AL69" i="1"/>
  <c r="AL70" i="1" s="1"/>
  <c r="AL72" i="1" s="1"/>
  <c r="AL79" i="1" s="1"/>
  <c r="AK69" i="1"/>
  <c r="AK70" i="1" s="1"/>
  <c r="AK72" i="1" s="1"/>
  <c r="AK79" i="1" s="1"/>
  <c r="AJ69" i="1"/>
  <c r="AJ70" i="1" s="1"/>
  <c r="AJ72" i="1" s="1"/>
  <c r="AJ79" i="1" s="1"/>
  <c r="AI69" i="1"/>
  <c r="AI70" i="1" s="1"/>
  <c r="AI72" i="1" s="1"/>
  <c r="AI79" i="1" s="1"/>
  <c r="AG69" i="1"/>
  <c r="AG70" i="1" s="1"/>
  <c r="AG72" i="1" s="1"/>
  <c r="AG79" i="1" s="1"/>
  <c r="AE69" i="1"/>
  <c r="AE70" i="1" s="1"/>
  <c r="AE72" i="1" s="1"/>
  <c r="AE79" i="1" s="1"/>
  <c r="AD69" i="1"/>
  <c r="Y69" i="1"/>
  <c r="Y70" i="1" s="1"/>
  <c r="Y72" i="1" s="1"/>
  <c r="Y79" i="1" s="1"/>
  <c r="AC69" i="1"/>
  <c r="AC70" i="1" s="1"/>
  <c r="AC72" i="1" s="1"/>
  <c r="AC79" i="1" s="1"/>
  <c r="X69" i="1"/>
  <c r="X70" i="1" s="1"/>
  <c r="X72" i="1" s="1"/>
  <c r="X79" i="1" s="1"/>
  <c r="Z69" i="1"/>
  <c r="Z70" i="1" s="1"/>
  <c r="Z72" i="1" s="1"/>
  <c r="Z79" i="1" s="1"/>
  <c r="AA69" i="1"/>
  <c r="AA70" i="1" s="1"/>
  <c r="AA72" i="1" s="1"/>
  <c r="AA79" i="1" s="1"/>
  <c r="V69" i="1"/>
  <c r="W69" i="1"/>
  <c r="W70" i="1" s="1"/>
  <c r="W72" i="1" s="1"/>
  <c r="AB69" i="1"/>
  <c r="AB70" i="1" s="1"/>
  <c r="AB72" i="1" s="1"/>
  <c r="AB79" i="1" s="1"/>
  <c r="P25" i="1"/>
  <c r="P44" i="1"/>
  <c r="U85" i="1"/>
  <c r="DB87" i="1"/>
  <c r="DB88" i="1" s="1"/>
  <c r="V70" i="1"/>
  <c r="W79" i="1"/>
  <c r="O25" i="1"/>
  <c r="P27" i="1"/>
  <c r="P51" i="1"/>
  <c r="P50" i="1"/>
  <c r="DB89" i="1" l="1"/>
  <c r="U88" i="1"/>
  <c r="AD70" i="1"/>
  <c r="U69" i="1"/>
  <c r="V72" i="1"/>
  <c r="AD72" i="1" l="1"/>
  <c r="U73" i="1" s="1"/>
  <c r="U70" i="1"/>
  <c r="DB91" i="1"/>
  <c r="U89" i="1"/>
  <c r="P31" i="1" s="1"/>
  <c r="V75" i="1"/>
  <c r="V79" i="1"/>
  <c r="AD79" i="1" l="1"/>
  <c r="U79" i="1" s="1"/>
  <c r="U80" i="1" s="1"/>
  <c r="U72" i="1"/>
  <c r="U91" i="1"/>
  <c r="U92" i="1"/>
  <c r="P42" i="1" s="1"/>
  <c r="W75" i="1"/>
  <c r="V76" i="1"/>
  <c r="V77" i="1"/>
  <c r="DA94" i="1" l="1"/>
  <c r="DA95" i="1" s="1"/>
  <c r="DA97" i="1" s="1"/>
  <c r="CZ94" i="1"/>
  <c r="CZ95" i="1" s="1"/>
  <c r="CZ97" i="1" s="1"/>
  <c r="CY94" i="1"/>
  <c r="CY95" i="1" s="1"/>
  <c r="CY97" i="1" s="1"/>
  <c r="CX94" i="1"/>
  <c r="CX95" i="1" s="1"/>
  <c r="CX97" i="1" s="1"/>
  <c r="CW94" i="1"/>
  <c r="CW95" i="1" s="1"/>
  <c r="CW97" i="1" s="1"/>
  <c r="CV94" i="1"/>
  <c r="CV95" i="1" s="1"/>
  <c r="CV97" i="1" s="1"/>
  <c r="CU94" i="1"/>
  <c r="CU95" i="1" s="1"/>
  <c r="CU97" i="1" s="1"/>
  <c r="CT94" i="1"/>
  <c r="CT95" i="1" s="1"/>
  <c r="CT97" i="1" s="1"/>
  <c r="CS94" i="1"/>
  <c r="CS95" i="1" s="1"/>
  <c r="CS97" i="1" s="1"/>
  <c r="CR94" i="1"/>
  <c r="CR95" i="1" s="1"/>
  <c r="CR97" i="1" s="1"/>
  <c r="CQ94" i="1"/>
  <c r="CQ95" i="1" s="1"/>
  <c r="CQ97" i="1" s="1"/>
  <c r="BQ94" i="1"/>
  <c r="BQ95" i="1" s="1"/>
  <c r="BQ97" i="1" s="1"/>
  <c r="AL94" i="1"/>
  <c r="AL95" i="1" s="1"/>
  <c r="AL97" i="1" s="1"/>
  <c r="AJ94" i="1"/>
  <c r="AJ95" i="1" s="1"/>
  <c r="AJ97" i="1" s="1"/>
  <c r="AH94" i="1"/>
  <c r="AH95" i="1" s="1"/>
  <c r="AH97" i="1" s="1"/>
  <c r="AE94" i="1"/>
  <c r="AE95" i="1" s="1"/>
  <c r="AE97" i="1" s="1"/>
  <c r="CD94" i="1"/>
  <c r="CD95" i="1" s="1"/>
  <c r="CD97" i="1" s="1"/>
  <c r="CC94" i="1"/>
  <c r="CC95" i="1" s="1"/>
  <c r="CC97" i="1" s="1"/>
  <c r="CB94" i="1"/>
  <c r="CB95" i="1" s="1"/>
  <c r="CB97" i="1" s="1"/>
  <c r="CA94" i="1"/>
  <c r="CA95" i="1" s="1"/>
  <c r="CA97" i="1" s="1"/>
  <c r="BZ94" i="1"/>
  <c r="BZ95" i="1" s="1"/>
  <c r="BZ97" i="1" s="1"/>
  <c r="BY94" i="1"/>
  <c r="BY95" i="1" s="1"/>
  <c r="BY97" i="1" s="1"/>
  <c r="BX94" i="1"/>
  <c r="BX95" i="1" s="1"/>
  <c r="BX97" i="1" s="1"/>
  <c r="BW94" i="1"/>
  <c r="BW95" i="1" s="1"/>
  <c r="BW97" i="1" s="1"/>
  <c r="BV94" i="1"/>
  <c r="BV95" i="1" s="1"/>
  <c r="BV97" i="1" s="1"/>
  <c r="BU94" i="1"/>
  <c r="BU95" i="1" s="1"/>
  <c r="BU97" i="1" s="1"/>
  <c r="BT94" i="1"/>
  <c r="BT95" i="1" s="1"/>
  <c r="BT97" i="1" s="1"/>
  <c r="BS94" i="1"/>
  <c r="BS95" i="1" s="1"/>
  <c r="BS97" i="1" s="1"/>
  <c r="BR94" i="1"/>
  <c r="BR95" i="1" s="1"/>
  <c r="BR97" i="1" s="1"/>
  <c r="BP94" i="1"/>
  <c r="BP95" i="1" s="1"/>
  <c r="BP97" i="1" s="1"/>
  <c r="AK94" i="1"/>
  <c r="AK95" i="1" s="1"/>
  <c r="AK97" i="1" s="1"/>
  <c r="AI94" i="1"/>
  <c r="AI95" i="1" s="1"/>
  <c r="AI97" i="1" s="1"/>
  <c r="AF94" i="1"/>
  <c r="AF95" i="1" s="1"/>
  <c r="AF97" i="1" s="1"/>
  <c r="AD94" i="1"/>
  <c r="AD95" i="1" s="1"/>
  <c r="AD97" i="1" s="1"/>
  <c r="AG94" i="1"/>
  <c r="AG95" i="1" s="1"/>
  <c r="AG97" i="1" s="1"/>
  <c r="AC94" i="1"/>
  <c r="AC95" i="1" s="1"/>
  <c r="AC97" i="1" s="1"/>
  <c r="DB94" i="1"/>
  <c r="DB95" i="1" s="1"/>
  <c r="DB97" i="1" s="1"/>
  <c r="CP94" i="1"/>
  <c r="CP95" i="1" s="1"/>
  <c r="CP97" i="1" s="1"/>
  <c r="CO94" i="1"/>
  <c r="CO95" i="1" s="1"/>
  <c r="CO97" i="1" s="1"/>
  <c r="CN94" i="1"/>
  <c r="CN95" i="1" s="1"/>
  <c r="CN97" i="1" s="1"/>
  <c r="CM94" i="1"/>
  <c r="CM95" i="1" s="1"/>
  <c r="CM97" i="1" s="1"/>
  <c r="CL94" i="1"/>
  <c r="CL95" i="1" s="1"/>
  <c r="CL97" i="1" s="1"/>
  <c r="CK94" i="1"/>
  <c r="CK95" i="1" s="1"/>
  <c r="CK97" i="1" s="1"/>
  <c r="CJ94" i="1"/>
  <c r="CJ95" i="1" s="1"/>
  <c r="CJ97" i="1" s="1"/>
  <c r="CI94" i="1"/>
  <c r="CI95" i="1" s="1"/>
  <c r="CI97" i="1" s="1"/>
  <c r="CH94" i="1"/>
  <c r="CH95" i="1" s="1"/>
  <c r="CH97" i="1" s="1"/>
  <c r="CG94" i="1"/>
  <c r="CG95" i="1" s="1"/>
  <c r="CG97" i="1" s="1"/>
  <c r="CF94" i="1"/>
  <c r="CF95" i="1" s="1"/>
  <c r="CF97" i="1" s="1"/>
  <c r="CE94" i="1"/>
  <c r="CE95" i="1" s="1"/>
  <c r="CE97" i="1" s="1"/>
  <c r="V94" i="1"/>
  <c r="Y94" i="1"/>
  <c r="Y95" i="1" s="1"/>
  <c r="Y97" i="1" s="1"/>
  <c r="Z94" i="1"/>
  <c r="Z95" i="1" s="1"/>
  <c r="Z97" i="1" s="1"/>
  <c r="AA94" i="1"/>
  <c r="AA95" i="1" s="1"/>
  <c r="AA97" i="1" s="1"/>
  <c r="W94" i="1"/>
  <c r="W95" i="1" s="1"/>
  <c r="W97" i="1" s="1"/>
  <c r="X94" i="1"/>
  <c r="X95" i="1" s="1"/>
  <c r="X97" i="1" s="1"/>
  <c r="AB94" i="1"/>
  <c r="AB95" i="1" s="1"/>
  <c r="AB97" i="1" s="1"/>
  <c r="P45" i="1"/>
  <c r="BO94" i="1"/>
  <c r="BO95" i="1" s="1"/>
  <c r="BO97" i="1" s="1"/>
  <c r="BN94" i="1"/>
  <c r="BN95" i="1" s="1"/>
  <c r="BN97" i="1" s="1"/>
  <c r="BM94" i="1"/>
  <c r="BM95" i="1" s="1"/>
  <c r="BM97" i="1" s="1"/>
  <c r="BL94" i="1"/>
  <c r="BL95" i="1" s="1"/>
  <c r="BL97" i="1" s="1"/>
  <c r="BK94" i="1"/>
  <c r="BK95" i="1" s="1"/>
  <c r="BK97" i="1" s="1"/>
  <c r="BJ94" i="1"/>
  <c r="BJ95" i="1" s="1"/>
  <c r="BJ97" i="1" s="1"/>
  <c r="BI94" i="1"/>
  <c r="BI95" i="1" s="1"/>
  <c r="BI97" i="1" s="1"/>
  <c r="BH94" i="1"/>
  <c r="BH95" i="1" s="1"/>
  <c r="BH97" i="1" s="1"/>
  <c r="BG94" i="1"/>
  <c r="BG95" i="1" s="1"/>
  <c r="BG97" i="1" s="1"/>
  <c r="BF94" i="1"/>
  <c r="BF95" i="1" s="1"/>
  <c r="BF97" i="1" s="1"/>
  <c r="BE94" i="1"/>
  <c r="BE95" i="1" s="1"/>
  <c r="BE97" i="1" s="1"/>
  <c r="BD94" i="1"/>
  <c r="BD95" i="1" s="1"/>
  <c r="BD97" i="1" s="1"/>
  <c r="BC94" i="1"/>
  <c r="BC95" i="1" s="1"/>
  <c r="BC97" i="1" s="1"/>
  <c r="BB94" i="1"/>
  <c r="BB95" i="1" s="1"/>
  <c r="BB97" i="1" s="1"/>
  <c r="BA94" i="1"/>
  <c r="BA95" i="1" s="1"/>
  <c r="BA97" i="1" s="1"/>
  <c r="AZ94" i="1"/>
  <c r="AZ95" i="1" s="1"/>
  <c r="AZ97" i="1" s="1"/>
  <c r="AY94" i="1"/>
  <c r="AY95" i="1" s="1"/>
  <c r="AY97" i="1" s="1"/>
  <c r="AX94" i="1"/>
  <c r="AX95" i="1" s="1"/>
  <c r="AX97" i="1" s="1"/>
  <c r="AW94" i="1"/>
  <c r="AW95" i="1" s="1"/>
  <c r="AW97" i="1" s="1"/>
  <c r="AV94" i="1"/>
  <c r="AV95" i="1" s="1"/>
  <c r="AV97" i="1" s="1"/>
  <c r="AU94" i="1"/>
  <c r="AU95" i="1" s="1"/>
  <c r="AU97" i="1" s="1"/>
  <c r="AT94" i="1"/>
  <c r="AT95" i="1" s="1"/>
  <c r="AT97" i="1" s="1"/>
  <c r="AS94" i="1"/>
  <c r="AS95" i="1" s="1"/>
  <c r="AS97" i="1" s="1"/>
  <c r="AR94" i="1"/>
  <c r="AR95" i="1" s="1"/>
  <c r="AR97" i="1" s="1"/>
  <c r="AM94" i="1"/>
  <c r="AM95" i="1" s="1"/>
  <c r="AM97" i="1" s="1"/>
  <c r="AQ94" i="1"/>
  <c r="AQ95" i="1" s="1"/>
  <c r="AQ97" i="1" s="1"/>
  <c r="AP94" i="1"/>
  <c r="AP95" i="1" s="1"/>
  <c r="AP97" i="1" s="1"/>
  <c r="AO94" i="1"/>
  <c r="AO95" i="1" s="1"/>
  <c r="AO97" i="1" s="1"/>
  <c r="AN94" i="1"/>
  <c r="AN95" i="1" s="1"/>
  <c r="AN97" i="1" s="1"/>
  <c r="K82" i="1"/>
  <c r="K92" i="1" s="1"/>
  <c r="K101" i="1" s="1"/>
  <c r="K72" i="1"/>
  <c r="X75" i="1"/>
  <c r="W76" i="1"/>
  <c r="W77" i="1"/>
  <c r="DA101" i="1" l="1"/>
  <c r="DA100" i="1"/>
  <c r="CZ101" i="1"/>
  <c r="CZ100" i="1"/>
  <c r="BN100" i="1"/>
  <c r="BN101" i="1"/>
  <c r="BM100" i="1"/>
  <c r="BM101" i="1"/>
  <c r="BL100" i="1"/>
  <c r="BL101" i="1"/>
  <c r="BK100" i="1"/>
  <c r="BK101" i="1"/>
  <c r="BJ100" i="1"/>
  <c r="BJ101" i="1"/>
  <c r="BI100" i="1"/>
  <c r="BI101" i="1"/>
  <c r="BD100" i="1"/>
  <c r="BD101" i="1"/>
  <c r="BC100" i="1"/>
  <c r="BC101" i="1"/>
  <c r="BB100" i="1"/>
  <c r="BB101" i="1"/>
  <c r="BA100" i="1"/>
  <c r="BA101" i="1"/>
  <c r="AZ100" i="1"/>
  <c r="AZ101" i="1"/>
  <c r="AY100" i="1"/>
  <c r="AY101" i="1"/>
  <c r="AX101" i="1"/>
  <c r="AX100" i="1"/>
  <c r="AW100" i="1"/>
  <c r="AW101" i="1"/>
  <c r="AV100" i="1"/>
  <c r="AV101" i="1"/>
  <c r="AU100" i="1"/>
  <c r="AU101" i="1"/>
  <c r="AT101" i="1"/>
  <c r="AT100" i="1"/>
  <c r="AS101" i="1"/>
  <c r="AS100" i="1"/>
  <c r="AR101" i="1"/>
  <c r="AR100" i="1"/>
  <c r="AQ100" i="1"/>
  <c r="AQ101" i="1"/>
  <c r="AP101" i="1"/>
  <c r="AP100" i="1"/>
  <c r="AO100" i="1"/>
  <c r="AO101" i="1"/>
  <c r="BH101" i="1"/>
  <c r="BH100" i="1"/>
  <c r="BG100" i="1"/>
  <c r="BG101" i="1"/>
  <c r="BF100" i="1"/>
  <c r="BF101" i="1"/>
  <c r="BE100" i="1"/>
  <c r="BE101" i="1"/>
  <c r="CY100" i="1"/>
  <c r="CY101" i="1"/>
  <c r="CX101" i="1"/>
  <c r="CX100" i="1"/>
  <c r="CW100" i="1"/>
  <c r="CW101" i="1"/>
  <c r="CV101" i="1"/>
  <c r="CV100" i="1"/>
  <c r="CU100" i="1"/>
  <c r="CU101" i="1"/>
  <c r="CT101" i="1"/>
  <c r="CT100" i="1"/>
  <c r="CS101" i="1"/>
  <c r="CS100" i="1"/>
  <c r="CR100" i="1"/>
  <c r="CR101" i="1"/>
  <c r="CQ101" i="1"/>
  <c r="CQ100" i="1"/>
  <c r="BQ100" i="1"/>
  <c r="BQ101" i="1"/>
  <c r="AL100" i="1"/>
  <c r="AL101" i="1"/>
  <c r="AJ101" i="1"/>
  <c r="AJ100" i="1"/>
  <c r="AH101" i="1"/>
  <c r="AH100" i="1"/>
  <c r="AE100" i="1"/>
  <c r="AE101" i="1"/>
  <c r="CD101" i="1"/>
  <c r="CD100" i="1"/>
  <c r="CC100" i="1"/>
  <c r="CC101" i="1"/>
  <c r="CB101" i="1"/>
  <c r="CB100" i="1"/>
  <c r="CA100" i="1"/>
  <c r="CA101" i="1"/>
  <c r="BZ100" i="1"/>
  <c r="BZ101" i="1"/>
  <c r="BY100" i="1"/>
  <c r="BY101" i="1"/>
  <c r="BX101" i="1"/>
  <c r="BX100" i="1"/>
  <c r="BW100" i="1"/>
  <c r="BW101" i="1"/>
  <c r="BV101" i="1"/>
  <c r="BV100" i="1"/>
  <c r="BU100" i="1"/>
  <c r="BU101" i="1"/>
  <c r="BT100" i="1"/>
  <c r="BT101" i="1"/>
  <c r="BS100" i="1"/>
  <c r="BS101" i="1"/>
  <c r="BR100" i="1"/>
  <c r="BR101" i="1"/>
  <c r="BP100" i="1"/>
  <c r="BP101" i="1"/>
  <c r="AK100" i="1"/>
  <c r="AK101" i="1"/>
  <c r="AI100" i="1"/>
  <c r="AI101" i="1"/>
  <c r="AF101" i="1"/>
  <c r="AF100" i="1"/>
  <c r="AD101" i="1"/>
  <c r="AD100" i="1"/>
  <c r="AG100" i="1"/>
  <c r="AG101" i="1"/>
  <c r="AC100" i="1"/>
  <c r="AC101" i="1"/>
  <c r="DB100" i="1"/>
  <c r="DB101" i="1"/>
  <c r="CP100" i="1"/>
  <c r="CP101" i="1"/>
  <c r="CO100" i="1"/>
  <c r="CO101" i="1"/>
  <c r="CN101" i="1"/>
  <c r="CN100" i="1"/>
  <c r="CM100" i="1"/>
  <c r="CM101" i="1"/>
  <c r="CL101" i="1"/>
  <c r="CL100" i="1"/>
  <c r="CK101" i="1"/>
  <c r="CK100" i="1"/>
  <c r="CJ101" i="1"/>
  <c r="CJ100" i="1"/>
  <c r="CI101" i="1"/>
  <c r="CI100" i="1"/>
  <c r="CH101" i="1"/>
  <c r="CH100" i="1"/>
  <c r="CG101" i="1"/>
  <c r="CG100" i="1"/>
  <c r="CF101" i="1"/>
  <c r="CF100" i="1"/>
  <c r="CE101" i="1"/>
  <c r="CE100" i="1"/>
  <c r="Z100" i="1"/>
  <c r="Z101" i="1"/>
  <c r="AA101" i="1"/>
  <c r="AA100" i="1"/>
  <c r="W101" i="1"/>
  <c r="W100" i="1"/>
  <c r="U98" i="1"/>
  <c r="P43" i="1" s="1"/>
  <c r="X100" i="1"/>
  <c r="X101" i="1"/>
  <c r="AB100" i="1"/>
  <c r="AB101" i="1"/>
  <c r="BO100" i="1"/>
  <c r="BO101" i="1"/>
  <c r="U94" i="1"/>
  <c r="V95" i="1"/>
  <c r="V97" i="1" s="1"/>
  <c r="Y100" i="1"/>
  <c r="Y101" i="1"/>
  <c r="AM101" i="1"/>
  <c r="AM100" i="1"/>
  <c r="AN101" i="1"/>
  <c r="AN100" i="1"/>
  <c r="Y75" i="1"/>
  <c r="X76" i="1"/>
  <c r="X77" i="1"/>
  <c r="V101" i="1"/>
  <c r="U101" i="1" l="1"/>
  <c r="U97" i="1"/>
  <c r="V100" i="1"/>
  <c r="U100" i="1" s="1"/>
  <c r="Z75" i="1"/>
  <c r="Y76" i="1"/>
  <c r="Y77" i="1"/>
  <c r="U102" i="1" l="1"/>
  <c r="P49" i="1" s="1"/>
  <c r="AA75" i="1"/>
  <c r="Z76" i="1"/>
  <c r="Z77" i="1"/>
  <c r="AB75" i="1" l="1"/>
  <c r="AA76" i="1"/>
  <c r="AA77" i="1"/>
  <c r="AC75" i="1" l="1"/>
  <c r="AB76" i="1"/>
  <c r="AB77" i="1"/>
  <c r="AD75" i="1" l="1"/>
  <c r="AC76" i="1"/>
  <c r="AC77" i="1"/>
  <c r="AE75" i="1" l="1"/>
  <c r="AD76" i="1"/>
  <c r="AD77" i="1"/>
  <c r="AF75" i="1" l="1"/>
  <c r="AE76" i="1"/>
  <c r="AE77" i="1"/>
  <c r="AG75" i="1" l="1"/>
  <c r="AF76" i="1"/>
  <c r="AF77" i="1"/>
  <c r="AH75" i="1" l="1"/>
  <c r="AG76" i="1"/>
  <c r="AG77" i="1"/>
  <c r="AI75" i="1" l="1"/>
  <c r="AH76" i="1"/>
  <c r="AH77" i="1"/>
  <c r="AJ75" i="1" l="1"/>
  <c r="AI76" i="1"/>
  <c r="AI77" i="1"/>
  <c r="AK75" i="1" l="1"/>
  <c r="AJ76" i="1"/>
  <c r="AJ77" i="1"/>
  <c r="AL75" i="1" l="1"/>
  <c r="AK76" i="1"/>
  <c r="AK77" i="1"/>
  <c r="AM75" i="1" l="1"/>
  <c r="AL76" i="1"/>
  <c r="AL77" i="1"/>
  <c r="AN75" i="1" l="1"/>
  <c r="AM76" i="1"/>
  <c r="AM77" i="1"/>
  <c r="AO75" i="1" l="1"/>
  <c r="AN76" i="1"/>
  <c r="AN77" i="1"/>
  <c r="AP75" i="1" l="1"/>
  <c r="AO76" i="1"/>
  <c r="AO77" i="1"/>
  <c r="AQ75" i="1" l="1"/>
  <c r="AP76" i="1"/>
  <c r="AP77" i="1"/>
  <c r="AR75" i="1" l="1"/>
  <c r="AQ76" i="1"/>
  <c r="AQ77" i="1"/>
  <c r="AS75" i="1" l="1"/>
  <c r="AR76" i="1"/>
  <c r="AR77" i="1"/>
  <c r="AT75" i="1" l="1"/>
  <c r="AS76" i="1"/>
  <c r="AS77" i="1"/>
  <c r="AU75" i="1" l="1"/>
  <c r="AT76" i="1"/>
  <c r="AT77" i="1"/>
  <c r="AV75" i="1" l="1"/>
  <c r="AU76" i="1"/>
  <c r="AU77" i="1"/>
  <c r="AW75" i="1" l="1"/>
  <c r="AV76" i="1"/>
  <c r="AV77" i="1"/>
  <c r="AX75" i="1" l="1"/>
  <c r="AW76" i="1"/>
  <c r="AW77" i="1"/>
  <c r="AY75" i="1" l="1"/>
  <c r="AX76" i="1"/>
  <c r="AX77" i="1"/>
  <c r="AZ75" i="1" l="1"/>
  <c r="AY76" i="1"/>
  <c r="AY77" i="1"/>
  <c r="BA75" i="1" l="1"/>
  <c r="AZ76" i="1"/>
  <c r="AZ77" i="1"/>
  <c r="BB75" i="1" l="1"/>
  <c r="BA76" i="1"/>
  <c r="BA77" i="1"/>
  <c r="BC75" i="1" l="1"/>
  <c r="BB76" i="1"/>
  <c r="BB77" i="1"/>
  <c r="BD75" i="1" l="1"/>
  <c r="BC76" i="1"/>
  <c r="BC77" i="1"/>
  <c r="BE75" i="1" l="1"/>
  <c r="BD76" i="1"/>
  <c r="BD77" i="1"/>
  <c r="BF75" i="1" l="1"/>
  <c r="BE76" i="1"/>
  <c r="BE77" i="1"/>
  <c r="BG75" i="1" l="1"/>
  <c r="BF76" i="1"/>
  <c r="BF77" i="1"/>
  <c r="BH75" i="1" l="1"/>
  <c r="BG76" i="1"/>
  <c r="BG77" i="1"/>
  <c r="BI75" i="1" l="1"/>
  <c r="BH76" i="1"/>
  <c r="BH77" i="1"/>
  <c r="BJ75" i="1" l="1"/>
  <c r="BI76" i="1"/>
  <c r="BI77" i="1"/>
  <c r="BK75" i="1" l="1"/>
  <c r="BJ76" i="1"/>
  <c r="BJ77" i="1"/>
  <c r="BL75" i="1" l="1"/>
  <c r="BK76" i="1"/>
  <c r="BK77" i="1"/>
  <c r="BM75" i="1" l="1"/>
  <c r="BL76" i="1"/>
  <c r="BL77" i="1"/>
  <c r="BN75" i="1" l="1"/>
  <c r="BM76" i="1"/>
  <c r="BM77" i="1"/>
  <c r="BO75" i="1" l="1"/>
  <c r="BN76" i="1"/>
  <c r="BN77" i="1"/>
  <c r="BP75" i="1" l="1"/>
  <c r="BO76" i="1"/>
  <c r="BO77" i="1"/>
  <c r="BQ75" i="1" l="1"/>
  <c r="BP76" i="1"/>
  <c r="BP77" i="1"/>
  <c r="BR75" i="1" l="1"/>
  <c r="BQ76" i="1"/>
  <c r="BQ77" i="1"/>
  <c r="BS75" i="1" l="1"/>
  <c r="BR76" i="1"/>
  <c r="BR77" i="1"/>
  <c r="BT75" i="1" l="1"/>
  <c r="BS76" i="1"/>
  <c r="BS77" i="1"/>
  <c r="BU75" i="1" l="1"/>
  <c r="BT76" i="1"/>
  <c r="BT77" i="1"/>
  <c r="BV75" i="1" l="1"/>
  <c r="BU76" i="1"/>
  <c r="BU77" i="1"/>
  <c r="BW75" i="1" l="1"/>
  <c r="BV76" i="1"/>
  <c r="BV77" i="1"/>
  <c r="BX75" i="1" l="1"/>
  <c r="BW76" i="1"/>
  <c r="BW77" i="1"/>
  <c r="BY75" i="1" l="1"/>
  <c r="BX76" i="1"/>
  <c r="BX77" i="1"/>
  <c r="BZ75" i="1" l="1"/>
  <c r="BY76" i="1"/>
  <c r="BY77" i="1"/>
  <c r="CA75" i="1" l="1"/>
  <c r="BZ76" i="1"/>
  <c r="BZ77" i="1"/>
  <c r="CB75" i="1" l="1"/>
  <c r="CA76" i="1"/>
  <c r="CA77" i="1"/>
  <c r="CC75" i="1" l="1"/>
  <c r="CB76" i="1"/>
  <c r="CB77" i="1"/>
  <c r="CD75" i="1" l="1"/>
  <c r="CC76" i="1"/>
  <c r="CC77" i="1"/>
  <c r="CE75" i="1" l="1"/>
  <c r="CD76" i="1"/>
  <c r="CD77" i="1"/>
  <c r="CF75" i="1" l="1"/>
  <c r="CE76" i="1"/>
  <c r="CE77" i="1"/>
  <c r="CG75" i="1" l="1"/>
  <c r="CF76" i="1"/>
  <c r="CF77" i="1"/>
  <c r="CH75" i="1" l="1"/>
  <c r="CG76" i="1"/>
  <c r="CG77" i="1"/>
  <c r="CI75" i="1" l="1"/>
  <c r="CH76" i="1"/>
  <c r="CH77" i="1"/>
  <c r="CJ75" i="1" l="1"/>
  <c r="CI76" i="1"/>
  <c r="CI77" i="1"/>
  <c r="CK75" i="1" l="1"/>
  <c r="CJ76" i="1"/>
  <c r="CJ77" i="1"/>
  <c r="CL75" i="1" l="1"/>
  <c r="CK76" i="1"/>
  <c r="CK77" i="1"/>
  <c r="CM75" i="1" l="1"/>
  <c r="CL76" i="1"/>
  <c r="CL77" i="1"/>
  <c r="CN75" i="1" l="1"/>
  <c r="CM76" i="1"/>
  <c r="CM77" i="1"/>
  <c r="CO75" i="1" l="1"/>
  <c r="CN76" i="1"/>
  <c r="CN77" i="1"/>
  <c r="CP75" i="1" l="1"/>
  <c r="CO76" i="1"/>
  <c r="CO77" i="1"/>
  <c r="CQ75" i="1" l="1"/>
  <c r="CP76" i="1"/>
  <c r="CP77" i="1"/>
  <c r="CR75" i="1" l="1"/>
  <c r="CQ76" i="1"/>
  <c r="CQ77" i="1"/>
  <c r="CS75" i="1" l="1"/>
  <c r="CR76" i="1"/>
  <c r="CR77" i="1"/>
  <c r="CT75" i="1" l="1"/>
  <c r="CS76" i="1"/>
  <c r="CS77" i="1"/>
  <c r="CU75" i="1" l="1"/>
  <c r="CT76" i="1"/>
  <c r="CT77" i="1"/>
  <c r="CV75" i="1" l="1"/>
  <c r="CU76" i="1"/>
  <c r="CU77" i="1"/>
  <c r="CW75" i="1" l="1"/>
  <c r="CV76" i="1"/>
  <c r="CV77" i="1"/>
  <c r="CX75" i="1" l="1"/>
  <c r="CW76" i="1"/>
  <c r="CW77" i="1"/>
  <c r="CY75" i="1" l="1"/>
  <c r="CX76" i="1"/>
  <c r="CX77" i="1"/>
  <c r="CZ75" i="1" l="1"/>
  <c r="CY76" i="1"/>
  <c r="CY77" i="1"/>
  <c r="DA75" i="1" l="1"/>
  <c r="CZ76" i="1"/>
  <c r="CZ77" i="1"/>
  <c r="DB75" i="1" l="1"/>
  <c r="DA76" i="1"/>
  <c r="DA77" i="1"/>
  <c r="DB76" i="1" l="1"/>
  <c r="U76" i="1" s="1"/>
  <c r="P48" i="1" s="1"/>
  <c r="DB77" i="1"/>
  <c r="U7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Javier Anich</author>
  </authors>
  <commentList>
    <comment ref="N11" authorId="0" shapeId="0" xr:uid="{954393CA-D806-47C5-9C6E-697987C08855}">
      <text>
        <r>
          <rPr>
            <b/>
            <sz val="9"/>
            <color indexed="81"/>
            <rFont val="Tahoma"/>
            <family val="2"/>
          </rPr>
          <t>Javier Anich:</t>
        </r>
        <r>
          <rPr>
            <sz val="9"/>
            <color indexed="81"/>
            <rFont val="Tahoma"/>
            <family val="2"/>
          </rPr>
          <t xml:space="preserve">
1=Solo al final pago todo
0= Pago mes a mes interes</t>
        </r>
      </text>
    </comment>
    <comment ref="B40" authorId="0" shapeId="0" xr:uid="{37D7D9BB-EB5D-4773-8803-28FB0F7740F6}">
      <text>
        <r>
          <rPr>
            <b/>
            <sz val="9"/>
            <color indexed="81"/>
            <rFont val="Tahoma"/>
            <family val="2"/>
          </rPr>
          <t>Javier Anich:</t>
        </r>
        <r>
          <rPr>
            <sz val="9"/>
            <color indexed="81"/>
            <rFont val="Tahoma"/>
            <family val="2"/>
          </rPr>
          <t xml:space="preserve">
Registro mercntil</t>
        </r>
      </text>
    </comment>
    <comment ref="D57" authorId="0" shapeId="0" xr:uid="{5C7DC1B2-8657-4F4E-B2E2-C494ACF43B4B}">
      <text>
        <r>
          <rPr>
            <b/>
            <sz val="9"/>
            <color indexed="81"/>
            <rFont val="Tahoma"/>
            <family val="2"/>
          </rPr>
          <t>Javier Anich:</t>
        </r>
        <r>
          <rPr>
            <sz val="9"/>
            <color indexed="81"/>
            <rFont val="Tahoma"/>
            <family val="2"/>
          </rPr>
          <t xml:space="preserve">
1,5%+IVA</t>
        </r>
      </text>
    </comment>
  </commentList>
</comments>
</file>

<file path=xl/sharedStrings.xml><?xml version="1.0" encoding="utf-8"?>
<sst xmlns="http://schemas.openxmlformats.org/spreadsheetml/2006/main" count="611" uniqueCount="348">
  <si>
    <t>Version</t>
  </si>
  <si>
    <t>Ubicación</t>
  </si>
  <si>
    <t>Operación</t>
  </si>
  <si>
    <t>Compra, rehabilitación y venta</t>
  </si>
  <si>
    <t>Caracteristicas generales inmueble</t>
  </si>
  <si>
    <t xml:space="preserve">Inputs </t>
  </si>
  <si>
    <t>Flujo de caja</t>
  </si>
  <si>
    <t>Planta</t>
  </si>
  <si>
    <t xml:space="preserve">2 planta exterior </t>
  </si>
  <si>
    <t>Financiamiento</t>
  </si>
  <si>
    <t>Meses</t>
  </si>
  <si>
    <t>x</t>
  </si>
  <si>
    <t>Ascensor</t>
  </si>
  <si>
    <t>si</t>
  </si>
  <si>
    <t>LTC</t>
  </si>
  <si>
    <t xml:space="preserve">Monto </t>
  </si>
  <si>
    <t>Tasa anual</t>
  </si>
  <si>
    <t>Tasa mens.</t>
  </si>
  <si>
    <t>Inicio</t>
  </si>
  <si>
    <t>mes</t>
  </si>
  <si>
    <t>Fin</t>
  </si>
  <si>
    <t>Años</t>
  </si>
  <si>
    <t>Tipologia</t>
  </si>
  <si>
    <t>3D2B</t>
  </si>
  <si>
    <t>Adquisisción</t>
  </si>
  <si>
    <r>
      <rPr>
        <i/>
        <sz val="11"/>
        <color theme="0"/>
        <rFont val="Calibri"/>
        <family val="2"/>
      </rPr>
      <t>#</t>
    </r>
    <r>
      <rPr>
        <sz val="11"/>
        <color theme="0"/>
        <rFont val="Calibri"/>
        <family val="2"/>
      </rPr>
      <t xml:space="preserve"> Año</t>
    </r>
  </si>
  <si>
    <t>Año</t>
  </si>
  <si>
    <t>Plazo</t>
  </si>
  <si>
    <t>Pago intereses</t>
  </si>
  <si>
    <t>Total</t>
  </si>
  <si>
    <t>Intereses</t>
  </si>
  <si>
    <t>Cuadro de áreas y unidades</t>
  </si>
  <si>
    <t>Amortizacion</t>
  </si>
  <si>
    <t>Unidades principales</t>
  </si>
  <si>
    <t>Cuota</t>
  </si>
  <si>
    <t>Inversión</t>
  </si>
  <si>
    <t>Residencial</t>
  </si>
  <si>
    <t>m2 construidos</t>
  </si>
  <si>
    <t>m2 util</t>
  </si>
  <si>
    <t>Terraza y comunes</t>
  </si>
  <si>
    <t>Sup. Comp.</t>
  </si>
  <si>
    <t>Ballon</t>
  </si>
  <si>
    <t>Dorm 1</t>
  </si>
  <si>
    <t>Pago deuda</t>
  </si>
  <si>
    <t>Dorm 2</t>
  </si>
  <si>
    <t>Costo estructuracion</t>
  </si>
  <si>
    <t>Total adquisiciòn</t>
  </si>
  <si>
    <t>Dorm 3</t>
  </si>
  <si>
    <t xml:space="preserve">Venta </t>
  </si>
  <si>
    <t>Dorm 4</t>
  </si>
  <si>
    <t>%</t>
  </si>
  <si>
    <t>€/mes</t>
  </si>
  <si>
    <t>€/m2</t>
  </si>
  <si>
    <t>€ Total</t>
  </si>
  <si>
    <t>Comunidad y SSBB</t>
  </si>
  <si>
    <t>Dorm 5</t>
  </si>
  <si>
    <t>Valor Venta estimada</t>
  </si>
  <si>
    <t>IBI</t>
  </si>
  <si>
    <t>Comun</t>
  </si>
  <si>
    <t>Gasto venta (broker)</t>
  </si>
  <si>
    <t>Seguro</t>
  </si>
  <si>
    <t>Ingreso por Venta bruto</t>
  </si>
  <si>
    <t>Gastos propiedad</t>
  </si>
  <si>
    <t>Secundarios</t>
  </si>
  <si>
    <t>m2</t>
  </si>
  <si>
    <t>Unidad</t>
  </si>
  <si>
    <t>Impuestos</t>
  </si>
  <si>
    <t>Garaje</t>
  </si>
  <si>
    <t>Impuesto Sociedad</t>
  </si>
  <si>
    <t>Honorarios Arquitectura</t>
  </si>
  <si>
    <t>Trastero</t>
  </si>
  <si>
    <t>Impuesto plusvalia municipal</t>
  </si>
  <si>
    <t>Construccion</t>
  </si>
  <si>
    <t>Total impuestos</t>
  </si>
  <si>
    <t>Otros</t>
  </si>
  <si>
    <t>Adquisición inmueble</t>
  </si>
  <si>
    <t>Mobiliario</t>
  </si>
  <si>
    <t>Valores transacción</t>
  </si>
  <si>
    <t>Incentive Fees</t>
  </si>
  <si>
    <t>€/m2 const.</t>
  </si>
  <si>
    <t>m2/unid.</t>
  </si>
  <si>
    <t>Total €</t>
  </si>
  <si>
    <t>% transacción</t>
  </si>
  <si>
    <t>% inversion</t>
  </si>
  <si>
    <t>Fee %</t>
  </si>
  <si>
    <t>HR</t>
  </si>
  <si>
    <t>Total Fee €</t>
  </si>
  <si>
    <t>Total rehabilitación</t>
  </si>
  <si>
    <t>Departamentos</t>
  </si>
  <si>
    <t>Tramo 1</t>
  </si>
  <si>
    <t>Garaje (unid)</t>
  </si>
  <si>
    <t>Tramo 2</t>
  </si>
  <si>
    <t xml:space="preserve">Imprevistos </t>
  </si>
  <si>
    <t>Trastero (m2)</t>
  </si>
  <si>
    <t>Subtotal activo</t>
  </si>
  <si>
    <t>Total Inversiòn Activo</t>
  </si>
  <si>
    <t>ITP</t>
  </si>
  <si>
    <t>Otros relevantes</t>
  </si>
  <si>
    <t>Notaria</t>
  </si>
  <si>
    <t>600-1000</t>
  </si>
  <si>
    <t>Meses aplicación</t>
  </si>
  <si>
    <t>€ total</t>
  </si>
  <si>
    <t>Registro y gestoria</t>
  </si>
  <si>
    <t>400-650</t>
  </si>
  <si>
    <t>Gastos gestion contable</t>
  </si>
  <si>
    <t>Comision Andes REI (IVA incl.)</t>
  </si>
  <si>
    <t>Gastos marketing-comercial</t>
  </si>
  <si>
    <t>Gestion contable y tributaria</t>
  </si>
  <si>
    <t>Comisión broker (IVA incl.)</t>
  </si>
  <si>
    <t>Gastos mktng-comercial</t>
  </si>
  <si>
    <t>Legal y constitucion</t>
  </si>
  <si>
    <t>Resultados</t>
  </si>
  <si>
    <t>Gastos operación</t>
  </si>
  <si>
    <t>Total Transacción</t>
  </si>
  <si>
    <t>TIR desapalancado pre tax</t>
  </si>
  <si>
    <t>TIR desapalancada pre tax post fee</t>
  </si>
  <si>
    <t>Total Inversion + gastos</t>
  </si>
  <si>
    <t>Monto mes</t>
  </si>
  <si>
    <t>Monto periodo</t>
  </si>
  <si>
    <t>% Propiedad</t>
  </si>
  <si>
    <t>TIR desapalancada post tax post fee</t>
  </si>
  <si>
    <t>Beneficio neto  pre tax</t>
  </si>
  <si>
    <t>Beneficio neto  pre tax post fee</t>
  </si>
  <si>
    <t>Desinversión/venta</t>
  </si>
  <si>
    <t>Venta</t>
  </si>
  <si>
    <t>Venta de activo</t>
  </si>
  <si>
    <t>Total equity s/financiar</t>
  </si>
  <si>
    <t>Costes de venta (broker)</t>
  </si>
  <si>
    <t>Reforma</t>
  </si>
  <si>
    <t>Multiplo s/inversión</t>
  </si>
  <si>
    <t>Valores construcción y mobiliario</t>
  </si>
  <si>
    <t>Mg sobre venta pre tax pre fee</t>
  </si>
  <si>
    <t>Valor venta neta</t>
  </si>
  <si>
    <t>€/m2 total</t>
  </si>
  <si>
    <t>Total €/m2 util</t>
  </si>
  <si>
    <t>Mg sobre inversión pre tax pre fee</t>
  </si>
  <si>
    <t>Tasas+ICIO</t>
  </si>
  <si>
    <t>Analisis de sensibilidades - pre tax + post fee</t>
  </si>
  <si>
    <t>Flujo de caja desapalancado pre tax</t>
  </si>
  <si>
    <t>Construccion m2 cerrados</t>
  </si>
  <si>
    <t>TIR desapalancada pre tax</t>
  </si>
  <si>
    <t>Construccion m2 terrazas</t>
  </si>
  <si>
    <t>Subtotal construcción</t>
  </si>
  <si>
    <r>
      <t xml:space="preserve">Precio compra </t>
    </r>
    <r>
      <rPr>
        <b/>
        <i/>
        <u/>
        <sz val="11"/>
        <color theme="0"/>
        <rFont val="Calibri"/>
        <family val="2"/>
      </rPr>
      <t>(€/m2)</t>
    </r>
    <r>
      <rPr>
        <b/>
        <u/>
        <sz val="11"/>
        <color theme="0"/>
        <rFont val="Calibri"/>
        <family val="2"/>
      </rPr>
      <t xml:space="preserve">
</t>
    </r>
  </si>
  <si>
    <t>Honorarios arquitectura</t>
  </si>
  <si>
    <t>Honorarios gestión AREI</t>
  </si>
  <si>
    <t>Balance inicial</t>
  </si>
  <si>
    <t>Solicitud</t>
  </si>
  <si>
    <t>Otros reforma</t>
  </si>
  <si>
    <t>Interés devengado</t>
  </si>
  <si>
    <t>Total reforma</t>
  </si>
  <si>
    <t>Interés pagado</t>
  </si>
  <si>
    <t>Total inversiòn s/financiar</t>
  </si>
  <si>
    <t>Amortización</t>
  </si>
  <si>
    <t>Imprevistos</t>
  </si>
  <si>
    <t>Balance final</t>
  </si>
  <si>
    <t>Administrativos</t>
  </si>
  <si>
    <t>Otros comerciales</t>
  </si>
  <si>
    <t>Coste estructuracion deuda</t>
  </si>
  <si>
    <t>Adm &amp; comercial</t>
  </si>
  <si>
    <t>Gastos financieros</t>
  </si>
  <si>
    <t>Flujo de caja Apalancado pre tax</t>
  </si>
  <si>
    <t>Total Inversión financiada</t>
  </si>
  <si>
    <t xml:space="preserve">Analisis de sensibilidades - post fee pre tax </t>
  </si>
  <si>
    <t>Impuesto teoricos</t>
  </si>
  <si>
    <t>Precio de venta €/m2</t>
  </si>
  <si>
    <t>Resumen inversiòn</t>
  </si>
  <si>
    <t>Precio Compra €/m2</t>
  </si>
  <si>
    <t>Flujo caja desapalancado post tax pre fee</t>
  </si>
  <si>
    <t>Adquisiciòn depto</t>
  </si>
  <si>
    <t>TIR apalancada post tax pre fee</t>
  </si>
  <si>
    <t>Gastos de compra</t>
  </si>
  <si>
    <t>Flujo caja apalancado acumulado</t>
  </si>
  <si>
    <t>Equity necesario</t>
  </si>
  <si>
    <t>Total equity apalancado</t>
  </si>
  <si>
    <t>Otros adm&amp;comercial</t>
  </si>
  <si>
    <t>Total equity desapalancado</t>
  </si>
  <si>
    <t>Total Inversion</t>
  </si>
  <si>
    <t>Total ingresos apalancado</t>
  </si>
  <si>
    <t>Tiempo venta</t>
  </si>
  <si>
    <t>Multiplo desapalancado</t>
  </si>
  <si>
    <t>Total apalancado</t>
  </si>
  <si>
    <t>Precio reforma €/m2</t>
  </si>
  <si>
    <t xml:space="preserve">Succes </t>
  </si>
  <si>
    <t>Balance incial</t>
  </si>
  <si>
    <t>Aportes</t>
  </si>
  <si>
    <t>Repartos</t>
  </si>
  <si>
    <t>Repartos con éxito tramo</t>
  </si>
  <si>
    <t>Éxito AREI</t>
  </si>
  <si>
    <t xml:space="preserve"> total</t>
  </si>
  <si>
    <t>Flujo de caja Apalancado pre tax post fee</t>
  </si>
  <si>
    <t>TIR apalancda pre tax post fee</t>
  </si>
  <si>
    <t>Flujo caja desapalancado post tax</t>
  </si>
  <si>
    <t>TIR apalancda post tax post fee</t>
  </si>
  <si>
    <t>Ingresos</t>
  </si>
  <si>
    <t>LTC %</t>
  </si>
  <si>
    <t>Egresos</t>
  </si>
  <si>
    <t>Multiplo apalancado</t>
  </si>
  <si>
    <t>Aux tiempos y Desglose de pagos</t>
  </si>
  <si>
    <t>Fechas</t>
  </si>
  <si>
    <t>Final</t>
  </si>
  <si>
    <t>Adquisición</t>
  </si>
  <si>
    <t>% s/valor suelo</t>
  </si>
  <si>
    <t>% s/inversión</t>
  </si>
  <si>
    <t>Monto €</t>
  </si>
  <si>
    <t>Fecha</t>
  </si>
  <si>
    <t>Modelo</t>
  </si>
  <si>
    <t>Arras/reserva</t>
  </si>
  <si>
    <t>Arras/reserva 2</t>
  </si>
  <si>
    <t>Pago entrega dpto</t>
  </si>
  <si>
    <t>Gastos adquisición</t>
  </si>
  <si>
    <t>Adquisiciòn</t>
  </si>
  <si>
    <t>Total adquisición</t>
  </si>
  <si>
    <t xml:space="preserve">Tasas </t>
  </si>
  <si>
    <t>Proyeto</t>
  </si>
  <si>
    <t>Honorarios gestiòn</t>
  </si>
  <si>
    <t>Construcciòn</t>
  </si>
  <si>
    <t>Entrega</t>
  </si>
  <si>
    <t>Entrega obra</t>
  </si>
  <si>
    <t>Periodo total</t>
  </si>
  <si>
    <t>Honorarios  Arquitectura</t>
  </si>
  <si>
    <t>Periodo venta</t>
  </si>
  <si>
    <t>Concepto</t>
  </si>
  <si>
    <t>Montos</t>
  </si>
  <si>
    <t>Fecha maxima</t>
  </si>
  <si>
    <t>AUX</t>
  </si>
  <si>
    <t>Arras (5%)</t>
  </si>
  <si>
    <t>Fees</t>
  </si>
  <si>
    <t xml:space="preserve">Ingresos </t>
  </si>
  <si>
    <t>Ppto inicial</t>
  </si>
  <si>
    <t xml:space="preserve"> % s/inversion</t>
  </si>
  <si>
    <t>Total carta desembolso 1</t>
  </si>
  <si>
    <t>Arras 2</t>
  </si>
  <si>
    <t>Gasto venta + plusvalia</t>
  </si>
  <si>
    <t>Ingresos netos</t>
  </si>
  <si>
    <t>Resto equity Operación</t>
  </si>
  <si>
    <t>Monto restante CV</t>
  </si>
  <si>
    <t>Gastos</t>
  </si>
  <si>
    <t>Ppto €</t>
  </si>
  <si>
    <t>Total carta desembolso 2</t>
  </si>
  <si>
    <t>Adq-Arq</t>
  </si>
  <si>
    <t>Adquisición Activo</t>
  </si>
  <si>
    <t>Const</t>
  </si>
  <si>
    <t>Total equity operación SCM</t>
  </si>
  <si>
    <t>Entrega-Arq</t>
  </si>
  <si>
    <t>Gastos adq.</t>
  </si>
  <si>
    <t>Adq-gestion</t>
  </si>
  <si>
    <t>Gastos recurrentes</t>
  </si>
  <si>
    <t>Const-gestion</t>
  </si>
  <si>
    <t>Gasto adm y comercial</t>
  </si>
  <si>
    <t>Entrega-gestion</t>
  </si>
  <si>
    <t>Otros e imprevistos</t>
  </si>
  <si>
    <t>Periodo completo gestion</t>
  </si>
  <si>
    <t>Inversión Total</t>
  </si>
  <si>
    <t>UAI</t>
  </si>
  <si>
    <t>Proceso venta</t>
  </si>
  <si>
    <t>Venta activo</t>
  </si>
  <si>
    <t>Desembolso deuda</t>
  </si>
  <si>
    <t>Periodo int+amort</t>
  </si>
  <si>
    <t>Pago intereses final</t>
  </si>
  <si>
    <t>Gastos propiedad recurrente</t>
  </si>
  <si>
    <t>tiempo operación</t>
  </si>
  <si>
    <t>Anticipo</t>
  </si>
  <si>
    <t>Termino</t>
  </si>
  <si>
    <t>Total general</t>
  </si>
  <si>
    <t>(en blanco)</t>
  </si>
  <si>
    <t>Honorarios Legales</t>
  </si>
  <si>
    <t>Corretaje</t>
  </si>
  <si>
    <t>Venta de la propiedad Gastos</t>
  </si>
  <si>
    <t>Saldo de precio</t>
  </si>
  <si>
    <t>Certificado</t>
  </si>
  <si>
    <t>Arras</t>
  </si>
  <si>
    <t>Venta de la propiedad</t>
  </si>
  <si>
    <t>% de Utilidad (UT/Total Inversión CON GASTOS DE VENTA)</t>
  </si>
  <si>
    <t>% de Utilidad (UT/Total Inversión SIN GASTOS DE VENTA)</t>
  </si>
  <si>
    <t>Amoblar</t>
  </si>
  <si>
    <t>dif</t>
  </si>
  <si>
    <t>Real (€)</t>
  </si>
  <si>
    <t>Plan</t>
  </si>
  <si>
    <t>Operación Fallida de Arapiles (costo de emisión de Cheques bancarios)</t>
  </si>
  <si>
    <t>Gastos notariales por prenda de FFMM a favor de la TC</t>
  </si>
  <si>
    <t>UTILIDAD PRE TAX (ingresos netos − total inversión + gastos)</t>
  </si>
  <si>
    <t>Cuentas basicas / GGCC</t>
  </si>
  <si>
    <t>Ingresos netos (venta − gastos de venta)</t>
  </si>
  <si>
    <t>Contabilidad Oct2025</t>
  </si>
  <si>
    <t>Venta (ingresos por venta)</t>
  </si>
  <si>
    <t>Contabilidad Nov2025</t>
  </si>
  <si>
    <t>(Real +442,5 por comisión que falta en los mov)</t>
  </si>
  <si>
    <t>RESULTADO</t>
  </si>
  <si>
    <t>Contabilidad Mayo2026</t>
  </si>
  <si>
    <t>(Presupuestado viene de presentación)</t>
  </si>
  <si>
    <t>TOTAL EGRESOS (inversión + gastos + gastos de venta)</t>
  </si>
  <si>
    <t>Contabilidad Marzo2026</t>
  </si>
  <si>
    <t>(Fuente: RV: Reporte Inversión #10 - VCC)</t>
  </si>
  <si>
    <t>Total gastos de venta + plusvalía</t>
  </si>
  <si>
    <t>Contabilidad Junio2026</t>
  </si>
  <si>
    <t xml:space="preserve">      · plusvalía / impuestos (ejecutado)</t>
  </si>
  <si>
    <t>Contabilidad Julio2026</t>
  </si>
  <si>
    <t xml:space="preserve">      ·Legales (ejecutado)</t>
  </si>
  <si>
    <t>Contabilidad Feb2026</t>
  </si>
  <si>
    <t xml:space="preserve">      · corretaje (ejecutado)</t>
  </si>
  <si>
    <t>Contabilidad Enero2026</t>
  </si>
  <si>
    <t>GASTOS DE VENTA Y PLUSVALÍA</t>
  </si>
  <si>
    <t>Contabilidad Dic2025</t>
  </si>
  <si>
    <t>TOTAL INVERSIÓN + GASTOS</t>
  </si>
  <si>
    <t>Contabilidad Abril2026</t>
  </si>
  <si>
    <t>Gestión contable y tributaria (contabilidad, impuestos, otros)</t>
  </si>
  <si>
    <t>Operacional</t>
  </si>
  <si>
    <t>OPERACIÓN</t>
  </si>
  <si>
    <t>Sus Fras. Notaría, Registro Mercantil de Madrid, Registro Mercantil Central y FNMT-RCM.</t>
  </si>
  <si>
    <t>TOTAL INVERSIÓN ACTIVO</t>
  </si>
  <si>
    <t>Provisión de fondos relativos al pago de la inscripción de la mencionada escritura en el Registro de la Propiedad.</t>
  </si>
  <si>
    <t>Provisión de fondos para el pago de la factura del Registro de la Propiedad por la inscripción de cancelación de hipoteca</t>
  </si>
  <si>
    <t>Provisión de fondos para el pago de la Factura de Notaría 22502877-A</t>
  </si>
  <si>
    <t>Pago saldo de precio</t>
  </si>
  <si>
    <t>Construcción (obra: certificaciones y extras)</t>
  </si>
  <si>
    <t>Mobiliario (amoblar + transporte)</t>
  </si>
  <si>
    <t>Honorarioos Legales</t>
  </si>
  <si>
    <t>Tasas + honorarios de arquitectura</t>
  </si>
  <si>
    <t>Honorario Gestoria</t>
  </si>
  <si>
    <t>REFORMA</t>
  </si>
  <si>
    <t>Comision Broker</t>
  </si>
  <si>
    <t>Total gastos de propiedad</t>
  </si>
  <si>
    <t>Comisión Andes</t>
  </si>
  <si>
    <t>(Extra lo del año pasado)</t>
  </si>
  <si>
    <t>IBI y TGR (neto de reembolsos)</t>
  </si>
  <si>
    <t>Inversion</t>
  </si>
  <si>
    <t>Comunidad y SSBB (servicios básicos)</t>
  </si>
  <si>
    <t>GASTOS DE PROPIEDAD</t>
  </si>
  <si>
    <t>Retenciones</t>
  </si>
  <si>
    <t>Reembolso TGR</t>
  </si>
  <si>
    <t>Retenciones (impuestos de la cuenta GGEE)</t>
  </si>
  <si>
    <t>Reembolso IBI y TGR</t>
  </si>
  <si>
    <t xml:space="preserve">      · gastos de adquisición (ejecutado: Andes, broker, ITP, legales, notaría…)</t>
  </si>
  <si>
    <t>Reembolso IBI</t>
  </si>
  <si>
    <t xml:space="preserve">      · saldo de precio (ejecutado)</t>
  </si>
  <si>
    <t>Ibi Y Tasa Gestión De Residuos Proporcional 2025</t>
  </si>
  <si>
    <t>Adquisición (saldo de precio + gastos de adquisición)</t>
  </si>
  <si>
    <t>Arras / reserva</t>
  </si>
  <si>
    <t>Gastos Propiedad</t>
  </si>
  <si>
    <t>INVERSIÓN — ADQUISICIÓN</t>
  </si>
  <si>
    <t>Suma de Importe</t>
  </si>
  <si>
    <t>Etiquetas de fila</t>
  </si>
  <si>
    <t>Diferencia</t>
  </si>
  <si>
    <t>Plan (€)</t>
  </si>
  <si>
    <t>Línea</t>
  </si>
  <si>
    <t>PLAN VS REAL — SC DE MARCENADO (desembolsos ejecutados)</t>
  </si>
  <si>
    <t># 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</si>
</sst>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 * #,##0.00_ ;_ * \-#,##0.00_ ;_ * &quot;-&quot;??_ ;_ @_ "/>
    <numFmt numFmtId="164" formatCode="_-* #,##0.00_-;\-* #,##0.00_-;_-* &quot;-&quot;??_-;_-@_-"/>
    <numFmt numFmtId="165" formatCode="[$-C0A]d\-mmm\-yy;@"/>
    <numFmt numFmtId="166" formatCode="[$-C0A]mmm\-yy;@"/>
    <numFmt numFmtId="167" formatCode="0\ &quot;años&quot;"/>
    <numFmt numFmtId="168" formatCode="#,##0;\(#,##0\);&quot;-&quot;"/>
    <numFmt numFmtId="169" formatCode="0.0%"/>
    <numFmt numFmtId="170" formatCode="#,##0.0"/>
    <numFmt numFmtId="171" formatCode="0%\ &quot;s/suelo&quot;"/>
    <numFmt numFmtId="172" formatCode="_-* #,##0_-;\-* #,##0_-;_-* &quot;-&quot;??_-;_-@_-"/>
    <numFmt numFmtId="173" formatCode="0.00\ &quot;x&quot;"/>
    <numFmt numFmtId="174" formatCode="0.00%\ &quot;s/PEM&quot;"/>
    <numFmt numFmtId="175" formatCode="#,##0;\(#,##0\)"/>
    <numFmt numFmtId="176" formatCode="0.00%;[Red]\-0.00%"/>
    <numFmt numFmtId="177" formatCode="_ [$€-2]\ * #,##0.00_ ;_ [$€-2]\ * \-#,##0.00_ ;_ [$€-2]\ * &quot;-&quot;??_ ;_ @_ 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b/>
      <u/>
      <sz val="11"/>
      <name val="Calibri"/>
      <family val="2"/>
    </font>
    <font>
      <i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u/>
      <sz val="11"/>
      <color theme="1"/>
      <name val="Calibri"/>
      <family val="2"/>
    </font>
    <font>
      <sz val="11"/>
      <color rgb="FF0070C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70C0"/>
      <name val="Calibri"/>
      <family val="2"/>
    </font>
    <font>
      <b/>
      <u/>
      <sz val="11"/>
      <color theme="0"/>
      <name val="Calibri"/>
      <family val="2"/>
    </font>
    <font>
      <b/>
      <i/>
      <u/>
      <sz val="11"/>
      <color theme="0"/>
      <name val="Calibri"/>
      <family val="2"/>
    </font>
    <font>
      <i/>
      <sz val="11"/>
      <name val="Calibri"/>
      <family val="2"/>
    </font>
    <font>
      <i/>
      <sz val="11"/>
      <color theme="1" tint="0.499984740745262"/>
      <name val="Calibri"/>
      <family val="2"/>
    </font>
    <font>
      <b/>
      <i/>
      <u/>
      <sz val="11"/>
      <color theme="1" tint="0.499984740745262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bin"/>
    </font>
    <font>
      <sz val="11"/>
      <color rgb="FF53565A"/>
      <name val="Cabin"/>
    </font>
    <font>
      <b/>
      <sz val="11"/>
      <color rgb="FF53565A"/>
      <name val="Cabin"/>
    </font>
    <font>
      <sz val="18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FFFFFF"/>
      <name val="Aptos Narrow"/>
      <family val="2"/>
    </font>
    <font>
      <b/>
      <sz val="11"/>
      <name val="Aptos Narrow"/>
      <family val="2"/>
    </font>
    <font>
      <b/>
      <sz val="13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28334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4EDF8"/>
        <bgColor indexed="64"/>
      </patternFill>
    </fill>
    <fill>
      <patternFill patternType="solid">
        <fgColor rgb="FF1F3864"/>
      </patternFill>
    </fill>
    <fill>
      <patternFill patternType="solid">
        <fgColor rgb="FFEDEDED"/>
      </patternFill>
    </fill>
    <fill>
      <patternFill patternType="solid">
        <fgColor rgb="FFD9E1F2"/>
      </patternFill>
    </fill>
  </fills>
  <borders count="32">
    <border>
      <left/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indexed="64"/>
      </right>
      <top/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hair">
        <color auto="1"/>
      </right>
      <top/>
      <bottom style="dotted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4">
    <xf numFmtId="0" fontId="0" fillId="0" borderId="0" xfId="0"/>
    <xf numFmtId="0" fontId="2" fillId="2" borderId="0" xfId="0" applyFont="1" applyFill="1"/>
    <xf numFmtId="0" fontId="2" fillId="2" borderId="1" xfId="0" applyFont="1" applyFill="1" applyBorder="1"/>
    <xf numFmtId="0" fontId="3" fillId="2" borderId="0" xfId="0" applyFont="1" applyFill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5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0" xfId="0" applyFont="1"/>
    <xf numFmtId="0" fontId="4" fillId="3" borderId="0" xfId="0" applyFont="1" applyFill="1"/>
    <xf numFmtId="0" fontId="4" fillId="3" borderId="1" xfId="0" applyFont="1" applyFill="1" applyBorder="1"/>
    <xf numFmtId="0" fontId="6" fillId="3" borderId="0" xfId="0" applyFont="1" applyFill="1"/>
    <xf numFmtId="0" fontId="7" fillId="0" borderId="5" xfId="0" applyFont="1" applyBorder="1"/>
    <xf numFmtId="0" fontId="8" fillId="0" borderId="0" xfId="0" applyFont="1"/>
    <xf numFmtId="0" fontId="8" fillId="4" borderId="0" xfId="0" applyFont="1" applyFill="1"/>
    <xf numFmtId="0" fontId="2" fillId="0" borderId="6" xfId="0" applyFont="1" applyBorder="1"/>
    <xf numFmtId="0" fontId="5" fillId="5" borderId="0" xfId="0" applyFont="1" applyFill="1"/>
    <xf numFmtId="0" fontId="2" fillId="5" borderId="0" xfId="0" applyFont="1" applyFill="1"/>
    <xf numFmtId="165" fontId="4" fillId="3" borderId="0" xfId="0" applyNumberFormat="1" applyFont="1" applyFill="1"/>
    <xf numFmtId="166" fontId="4" fillId="3" borderId="0" xfId="0" applyNumberFormat="1" applyFont="1" applyFill="1"/>
    <xf numFmtId="0" fontId="2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2" fillId="0" borderId="0" xfId="0" applyFont="1" applyAlignment="1">
      <alignment wrapText="1"/>
    </xf>
    <xf numFmtId="9" fontId="10" fillId="0" borderId="0" xfId="0" applyNumberFormat="1" applyFont="1"/>
    <xf numFmtId="3" fontId="2" fillId="0" borderId="0" xfId="0" applyNumberFormat="1" applyFont="1"/>
    <xf numFmtId="10" fontId="10" fillId="0" borderId="0" xfId="2" applyNumberFormat="1" applyFont="1" applyProtection="1"/>
    <xf numFmtId="10" fontId="8" fillId="0" borderId="0" xfId="0" applyNumberFormat="1" applyFont="1"/>
    <xf numFmtId="165" fontId="2" fillId="0" borderId="0" xfId="0" applyNumberFormat="1" applyFont="1"/>
    <xf numFmtId="0" fontId="7" fillId="0" borderId="7" xfId="0" applyFont="1" applyBorder="1"/>
    <xf numFmtId="0" fontId="2" fillId="0" borderId="8" xfId="0" applyFont="1" applyBorder="1" applyAlignment="1">
      <alignment horizontal="left"/>
    </xf>
    <xf numFmtId="0" fontId="2" fillId="0" borderId="8" xfId="0" applyFont="1" applyBorder="1"/>
    <xf numFmtId="0" fontId="2" fillId="0" borderId="9" xfId="0" applyFont="1" applyBorder="1"/>
    <xf numFmtId="167" fontId="8" fillId="0" borderId="0" xfId="0" applyNumberFormat="1" applyFont="1"/>
    <xf numFmtId="4" fontId="2" fillId="0" borderId="0" xfId="0" applyNumberFormat="1" applyFont="1"/>
    <xf numFmtId="0" fontId="2" fillId="6" borderId="0" xfId="0" applyFont="1" applyFill="1" applyAlignment="1">
      <alignment horizontal="right"/>
    </xf>
    <xf numFmtId="0" fontId="10" fillId="6" borderId="0" xfId="0" applyFont="1" applyFill="1"/>
    <xf numFmtId="0" fontId="11" fillId="0" borderId="1" xfId="0" applyFont="1" applyBorder="1" applyAlignment="1">
      <alignment horizontal="right"/>
    </xf>
    <xf numFmtId="0" fontId="7" fillId="0" borderId="0" xfId="0" applyFont="1"/>
    <xf numFmtId="0" fontId="2" fillId="0" borderId="0" xfId="0" applyFont="1" applyAlignment="1">
      <alignment horizontal="left"/>
    </xf>
    <xf numFmtId="3" fontId="8" fillId="0" borderId="0" xfId="1" applyNumberFormat="1" applyFont="1" applyProtection="1"/>
    <xf numFmtId="0" fontId="5" fillId="0" borderId="0" xfId="0" applyFont="1"/>
    <xf numFmtId="0" fontId="7" fillId="0" borderId="1" xfId="0" applyFont="1" applyBorder="1"/>
    <xf numFmtId="0" fontId="12" fillId="2" borderId="0" xfId="0" applyFont="1" applyFill="1"/>
    <xf numFmtId="0" fontId="2" fillId="0" borderId="10" xfId="0" applyFont="1" applyBorder="1" applyAlignment="1">
      <alignment wrapText="1"/>
    </xf>
    <xf numFmtId="0" fontId="2" fillId="0" borderId="10" xfId="0" applyFont="1" applyBorder="1"/>
    <xf numFmtId="3" fontId="8" fillId="0" borderId="10" xfId="1" applyNumberFormat="1" applyFont="1" applyBorder="1" applyProtection="1"/>
    <xf numFmtId="4" fontId="2" fillId="0" borderId="10" xfId="0" applyNumberFormat="1" applyFont="1" applyBorder="1"/>
    <xf numFmtId="0" fontId="2" fillId="0" borderId="1" xfId="0" applyFont="1" applyBorder="1"/>
    <xf numFmtId="3" fontId="7" fillId="0" borderId="0" xfId="1" applyNumberFormat="1" applyFont="1" applyProtection="1"/>
    <xf numFmtId="0" fontId="9" fillId="6" borderId="0" xfId="0" applyFont="1" applyFill="1"/>
    <xf numFmtId="168" fontId="9" fillId="6" borderId="1" xfId="0" applyNumberFormat="1" applyFont="1" applyFill="1" applyBorder="1"/>
    <xf numFmtId="168" fontId="9" fillId="6" borderId="0" xfId="0" applyNumberFormat="1" applyFont="1" applyFill="1"/>
    <xf numFmtId="0" fontId="9" fillId="0" borderId="0" xfId="0" applyFont="1"/>
    <xf numFmtId="0" fontId="2" fillId="0" borderId="8" xfId="0" applyFont="1" applyBorder="1" applyAlignment="1">
      <alignment wrapText="1"/>
    </xf>
    <xf numFmtId="9" fontId="10" fillId="0" borderId="8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left" indent="1"/>
    </xf>
    <xf numFmtId="168" fontId="2" fillId="0" borderId="1" xfId="0" applyNumberFormat="1" applyFont="1" applyBorder="1"/>
    <xf numFmtId="168" fontId="2" fillId="0" borderId="0" xfId="0" applyNumberFormat="1" applyFont="1"/>
    <xf numFmtId="3" fontId="10" fillId="0" borderId="0" xfId="0" applyNumberFormat="1" applyFont="1"/>
    <xf numFmtId="169" fontId="2" fillId="0" borderId="0" xfId="2" applyNumberFormat="1" applyFont="1" applyProtection="1"/>
    <xf numFmtId="0" fontId="2" fillId="0" borderId="8" xfId="0" applyFont="1" applyBorder="1" applyAlignment="1">
      <alignment horizontal="left" indent="1"/>
    </xf>
    <xf numFmtId="168" fontId="2" fillId="0" borderId="11" xfId="0" applyNumberFormat="1" applyFont="1" applyBorder="1"/>
    <xf numFmtId="168" fontId="2" fillId="0" borderId="8" xfId="0" applyNumberFormat="1" applyFont="1" applyBorder="1"/>
    <xf numFmtId="0" fontId="10" fillId="0" borderId="0" xfId="0" applyFont="1"/>
    <xf numFmtId="10" fontId="10" fillId="0" borderId="0" xfId="0" applyNumberFormat="1" applyFont="1"/>
    <xf numFmtId="9" fontId="2" fillId="0" borderId="0" xfId="2" applyFont="1" applyProtection="1"/>
    <xf numFmtId="0" fontId="11" fillId="0" borderId="0" xfId="0" applyFont="1"/>
    <xf numFmtId="168" fontId="11" fillId="0" borderId="1" xfId="0" applyNumberFormat="1" applyFont="1" applyBorder="1"/>
    <xf numFmtId="168" fontId="11" fillId="0" borderId="0" xfId="0" applyNumberFormat="1" applyFont="1"/>
    <xf numFmtId="0" fontId="9" fillId="5" borderId="0" xfId="0" applyFont="1" applyFill="1"/>
    <xf numFmtId="0" fontId="2" fillId="0" borderId="12" xfId="0" applyFont="1" applyBorder="1" applyAlignment="1">
      <alignment horizontal="left" indent="1"/>
    </xf>
    <xf numFmtId="3" fontId="2" fillId="0" borderId="12" xfId="0" applyNumberFormat="1" applyFont="1" applyBorder="1"/>
    <xf numFmtId="0" fontId="2" fillId="0" borderId="12" xfId="0" applyFont="1" applyBorder="1"/>
    <xf numFmtId="170" fontId="10" fillId="7" borderId="0" xfId="0" applyNumberFormat="1" applyFont="1" applyFill="1" applyProtection="1">
      <protection locked="0"/>
    </xf>
    <xf numFmtId="0" fontId="2" fillId="0" borderId="13" xfId="0" applyFont="1" applyBorder="1" applyAlignment="1">
      <alignment horizontal="left" indent="1"/>
    </xf>
    <xf numFmtId="3" fontId="2" fillId="0" borderId="13" xfId="0" applyNumberFormat="1" applyFont="1" applyBorder="1"/>
    <xf numFmtId="0" fontId="2" fillId="0" borderId="13" xfId="0" applyFont="1" applyBorder="1"/>
    <xf numFmtId="169" fontId="10" fillId="0" borderId="0" xfId="0" applyNumberFormat="1" applyFont="1"/>
    <xf numFmtId="170" fontId="2" fillId="0" borderId="0" xfId="0" applyNumberFormat="1" applyFont="1"/>
    <xf numFmtId="0" fontId="11" fillId="0" borderId="3" xfId="0" applyFont="1" applyBorder="1" applyAlignment="1">
      <alignment horizontal="left" indent="1"/>
    </xf>
    <xf numFmtId="3" fontId="13" fillId="0" borderId="3" xfId="0" applyNumberFormat="1" applyFont="1" applyBorder="1"/>
    <xf numFmtId="170" fontId="13" fillId="0" borderId="3" xfId="0" applyNumberFormat="1" applyFont="1" applyBorder="1"/>
    <xf numFmtId="170" fontId="11" fillId="0" borderId="3" xfId="0" applyNumberFormat="1" applyFont="1" applyBorder="1"/>
    <xf numFmtId="169" fontId="11" fillId="0" borderId="3" xfId="2" applyNumberFormat="1" applyFont="1" applyBorder="1" applyProtection="1"/>
    <xf numFmtId="0" fontId="11" fillId="0" borderId="3" xfId="0" applyFont="1" applyBorder="1"/>
    <xf numFmtId="3" fontId="11" fillId="0" borderId="3" xfId="0" applyNumberFormat="1" applyFont="1" applyBorder="1"/>
    <xf numFmtId="168" fontId="11" fillId="0" borderId="14" xfId="0" applyNumberFormat="1" applyFont="1" applyBorder="1"/>
    <xf numFmtId="168" fontId="11" fillId="0" borderId="3" xfId="0" applyNumberFormat="1" applyFont="1" applyBorder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left"/>
    </xf>
    <xf numFmtId="170" fontId="9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/>
    </xf>
    <xf numFmtId="0" fontId="2" fillId="0" borderId="0" xfId="0" applyFont="1" applyAlignment="1">
      <alignment horizontal="left" indent="2"/>
    </xf>
    <xf numFmtId="9" fontId="8" fillId="0" borderId="0" xfId="0" applyNumberFormat="1" applyFont="1"/>
    <xf numFmtId="9" fontId="2" fillId="0" borderId="8" xfId="0" applyNumberFormat="1" applyFont="1" applyBorder="1"/>
    <xf numFmtId="3" fontId="10" fillId="0" borderId="8" xfId="0" applyNumberFormat="1" applyFont="1" applyBorder="1"/>
    <xf numFmtId="170" fontId="2" fillId="0" borderId="8" xfId="0" applyNumberFormat="1" applyFont="1" applyBorder="1"/>
    <xf numFmtId="170" fontId="11" fillId="0" borderId="0" xfId="0" applyNumberFormat="1" applyFont="1"/>
    <xf numFmtId="3" fontId="11" fillId="0" borderId="0" xfId="0" applyNumberFormat="1" applyFont="1"/>
    <xf numFmtId="4" fontId="11" fillId="0" borderId="0" xfId="0" applyNumberFormat="1" applyFont="1" applyAlignment="1">
      <alignment horizontal="left"/>
    </xf>
    <xf numFmtId="0" fontId="11" fillId="0" borderId="3" xfId="0" applyFont="1" applyBorder="1" applyAlignment="1">
      <alignment horizontal="left"/>
    </xf>
    <xf numFmtId="3" fontId="13" fillId="0" borderId="0" xfId="0" applyNumberFormat="1" applyFont="1" applyProtection="1">
      <protection locked="0"/>
    </xf>
    <xf numFmtId="171" fontId="10" fillId="0" borderId="0" xfId="0" applyNumberFormat="1" applyFont="1"/>
    <xf numFmtId="0" fontId="11" fillId="5" borderId="0" xfId="0" applyFont="1" applyFill="1"/>
    <xf numFmtId="4" fontId="11" fillId="5" borderId="0" xfId="0" applyNumberFormat="1" applyFont="1" applyFill="1"/>
    <xf numFmtId="0" fontId="10" fillId="0" borderId="0" xfId="0" applyFont="1" applyAlignment="1">
      <alignment horizontal="right"/>
    </xf>
    <xf numFmtId="164" fontId="2" fillId="0" borderId="0" xfId="1" applyFont="1" applyBorder="1" applyProtection="1"/>
    <xf numFmtId="168" fontId="2" fillId="6" borderId="1" xfId="0" applyNumberFormat="1" applyFont="1" applyFill="1" applyBorder="1"/>
    <xf numFmtId="168" fontId="2" fillId="6" borderId="0" xfId="0" applyNumberFormat="1" applyFont="1" applyFill="1"/>
    <xf numFmtId="3" fontId="2" fillId="0" borderId="0" xfId="0" applyNumberFormat="1" applyFont="1" applyAlignment="1">
      <alignment horizontal="right"/>
    </xf>
    <xf numFmtId="169" fontId="2" fillId="6" borderId="0" xfId="0" applyNumberFormat="1" applyFont="1" applyFill="1"/>
    <xf numFmtId="169" fontId="10" fillId="0" borderId="0" xfId="0" applyNumberFormat="1" applyFont="1" applyProtection="1">
      <protection locked="0"/>
    </xf>
    <xf numFmtId="0" fontId="14" fillId="2" borderId="0" xfId="0" applyFont="1" applyFill="1"/>
    <xf numFmtId="169" fontId="11" fillId="0" borderId="3" xfId="0" applyNumberFormat="1" applyFont="1" applyBorder="1"/>
    <xf numFmtId="0" fontId="2" fillId="8" borderId="0" xfId="0" applyFont="1" applyFill="1" applyAlignment="1">
      <alignment horizontal="left" indent="1"/>
    </xf>
    <xf numFmtId="0" fontId="2" fillId="8" borderId="0" xfId="0" applyFont="1" applyFill="1"/>
    <xf numFmtId="169" fontId="2" fillId="8" borderId="0" xfId="2" applyNumberFormat="1" applyFont="1" applyFill="1" applyBorder="1" applyAlignment="1" applyProtection="1"/>
    <xf numFmtId="169" fontId="2" fillId="0" borderId="0" xfId="2" applyNumberFormat="1" applyFont="1" applyFill="1" applyBorder="1" applyAlignment="1" applyProtection="1"/>
    <xf numFmtId="10" fontId="2" fillId="0" borderId="0" xfId="0" applyNumberFormat="1" applyFont="1"/>
    <xf numFmtId="169" fontId="2" fillId="0" borderId="0" xfId="0" applyNumberFormat="1" applyFont="1"/>
    <xf numFmtId="0" fontId="2" fillId="8" borderId="12" xfId="0" applyFont="1" applyFill="1" applyBorder="1" applyAlignment="1">
      <alignment horizontal="left" indent="1"/>
    </xf>
    <xf numFmtId="0" fontId="2" fillId="8" borderId="12" xfId="0" applyFont="1" applyFill="1" applyBorder="1"/>
    <xf numFmtId="169" fontId="2" fillId="8" borderId="12" xfId="2" applyNumberFormat="1" applyFont="1" applyFill="1" applyBorder="1" applyAlignment="1" applyProtection="1"/>
    <xf numFmtId="169" fontId="2" fillId="0" borderId="12" xfId="2" applyNumberFormat="1" applyFont="1" applyFill="1" applyBorder="1" applyAlignment="1" applyProtection="1"/>
    <xf numFmtId="0" fontId="11" fillId="5" borderId="15" xfId="0" applyFont="1" applyFill="1" applyBorder="1"/>
    <xf numFmtId="168" fontId="11" fillId="5" borderId="16" xfId="0" applyNumberFormat="1" applyFont="1" applyFill="1" applyBorder="1"/>
    <xf numFmtId="168" fontId="11" fillId="5" borderId="15" xfId="0" applyNumberFormat="1" applyFont="1" applyFill="1" applyBorder="1"/>
    <xf numFmtId="9" fontId="9" fillId="0" borderId="0" xfId="0" applyNumberFormat="1" applyFont="1" applyAlignment="1">
      <alignment horizontal="right"/>
    </xf>
    <xf numFmtId="169" fontId="9" fillId="0" borderId="0" xfId="0" applyNumberFormat="1" applyFont="1" applyAlignment="1">
      <alignment horizontal="right"/>
    </xf>
    <xf numFmtId="0" fontId="2" fillId="8" borderId="13" xfId="0" applyFont="1" applyFill="1" applyBorder="1" applyAlignment="1">
      <alignment horizontal="left" indent="1"/>
    </xf>
    <xf numFmtId="0" fontId="2" fillId="8" borderId="13" xfId="0" applyFont="1" applyFill="1" applyBorder="1"/>
    <xf numFmtId="169" fontId="11" fillId="8" borderId="13" xfId="0" applyNumberFormat="1" applyFont="1" applyFill="1" applyBorder="1"/>
    <xf numFmtId="169" fontId="11" fillId="0" borderId="13" xfId="0" applyNumberFormat="1" applyFont="1" applyBorder="1"/>
    <xf numFmtId="10" fontId="2" fillId="0" borderId="0" xfId="2" applyNumberFormat="1" applyFont="1" applyProtection="1"/>
    <xf numFmtId="172" fontId="2" fillId="8" borderId="0" xfId="0" applyNumberFormat="1" applyFont="1" applyFill="1"/>
    <xf numFmtId="172" fontId="2" fillId="0" borderId="0" xfId="0" applyNumberFormat="1" applyFont="1"/>
    <xf numFmtId="10" fontId="8" fillId="0" borderId="0" xfId="2" applyNumberFormat="1" applyFont="1" applyProtection="1"/>
    <xf numFmtId="3" fontId="8" fillId="0" borderId="0" xfId="0" applyNumberFormat="1" applyFont="1"/>
    <xf numFmtId="0" fontId="11" fillId="8" borderId="12" xfId="0" applyFont="1" applyFill="1" applyBorder="1"/>
    <xf numFmtId="9" fontId="13" fillId="8" borderId="12" xfId="0" applyNumberFormat="1" applyFont="1" applyFill="1" applyBorder="1"/>
    <xf numFmtId="172" fontId="11" fillId="8" borderId="12" xfId="1" applyNumberFormat="1" applyFont="1" applyFill="1" applyBorder="1" applyAlignment="1" applyProtection="1"/>
    <xf numFmtId="172" fontId="11" fillId="0" borderId="12" xfId="1" applyNumberFormat="1" applyFont="1" applyFill="1" applyBorder="1" applyAlignment="1" applyProtection="1"/>
    <xf numFmtId="0" fontId="11" fillId="6" borderId="0" xfId="0" applyFont="1" applyFill="1"/>
    <xf numFmtId="168" fontId="11" fillId="6" borderId="1" xfId="0" applyNumberFormat="1" applyFont="1" applyFill="1" applyBorder="1"/>
    <xf numFmtId="168" fontId="11" fillId="6" borderId="0" xfId="0" applyNumberFormat="1" applyFont="1" applyFill="1"/>
    <xf numFmtId="169" fontId="2" fillId="0" borderId="8" xfId="2" applyNumberFormat="1" applyFont="1" applyBorder="1" applyProtection="1"/>
    <xf numFmtId="172" fontId="11" fillId="8" borderId="12" xfId="0" applyNumberFormat="1" applyFont="1" applyFill="1" applyBorder="1"/>
    <xf numFmtId="10" fontId="11" fillId="0" borderId="3" xfId="0" applyNumberFormat="1" applyFont="1" applyBorder="1"/>
    <xf numFmtId="169" fontId="11" fillId="0" borderId="0" xfId="2" applyNumberFormat="1" applyFont="1" applyBorder="1" applyProtection="1"/>
    <xf numFmtId="169" fontId="11" fillId="0" borderId="0" xfId="2" applyNumberFormat="1" applyFont="1" applyProtection="1"/>
    <xf numFmtId="0" fontId="2" fillId="5" borderId="0" xfId="0" applyFont="1" applyFill="1" applyAlignment="1">
      <alignment horizontal="left" indent="1"/>
    </xf>
    <xf numFmtId="172" fontId="2" fillId="5" borderId="0" xfId="0" applyNumberFormat="1" applyFont="1" applyFill="1"/>
    <xf numFmtId="168" fontId="2" fillId="0" borderId="1" xfId="1" applyNumberFormat="1" applyFont="1" applyBorder="1" applyProtection="1"/>
    <xf numFmtId="3" fontId="2" fillId="5" borderId="0" xfId="0" applyNumberFormat="1" applyFont="1" applyFill="1"/>
    <xf numFmtId="0" fontId="2" fillId="5" borderId="12" xfId="0" applyFont="1" applyFill="1" applyBorder="1" applyAlignment="1">
      <alignment horizontal="left" indent="1"/>
    </xf>
    <xf numFmtId="0" fontId="2" fillId="5" borderId="12" xfId="0" applyFont="1" applyFill="1" applyBorder="1"/>
    <xf numFmtId="173" fontId="2" fillId="5" borderId="12" xfId="0" applyNumberFormat="1" applyFont="1" applyFill="1" applyBorder="1"/>
    <xf numFmtId="173" fontId="2" fillId="0" borderId="12" xfId="0" applyNumberFormat="1" applyFont="1" applyBorder="1"/>
    <xf numFmtId="169" fontId="2" fillId="5" borderId="0" xfId="2" applyNumberFormat="1" applyFont="1" applyFill="1" applyAlignment="1" applyProtection="1"/>
    <xf numFmtId="169" fontId="2" fillId="0" borderId="0" xfId="2" applyNumberFormat="1" applyFont="1" applyFill="1" applyAlignment="1" applyProtection="1"/>
    <xf numFmtId="168" fontId="11" fillId="0" borderId="14" xfId="1" applyNumberFormat="1" applyFont="1" applyBorder="1" applyProtection="1"/>
    <xf numFmtId="168" fontId="2" fillId="0" borderId="1" xfId="2" applyNumberFormat="1" applyFont="1" applyBorder="1" applyProtection="1"/>
    <xf numFmtId="4" fontId="2" fillId="0" borderId="0" xfId="0" applyNumberFormat="1" applyFont="1" applyAlignment="1">
      <alignment horizontal="left" vertical="center" indent="1"/>
    </xf>
    <xf numFmtId="169" fontId="10" fillId="0" borderId="0" xfId="2" applyNumberFormat="1" applyFont="1" applyProtection="1"/>
    <xf numFmtId="172" fontId="2" fillId="0" borderId="0" xfId="1" applyNumberFormat="1" applyFont="1" applyProtection="1"/>
    <xf numFmtId="0" fontId="14" fillId="0" borderId="0" xfId="0" applyFont="1"/>
    <xf numFmtId="0" fontId="4" fillId="0" borderId="0" xfId="0" applyFont="1"/>
    <xf numFmtId="0" fontId="11" fillId="5" borderId="3" xfId="0" applyFont="1" applyFill="1" applyBorder="1"/>
    <xf numFmtId="168" fontId="11" fillId="5" borderId="14" xfId="0" applyNumberFormat="1" applyFont="1" applyFill="1" applyBorder="1"/>
    <xf numFmtId="168" fontId="11" fillId="5" borderId="3" xfId="0" applyNumberFormat="1" applyFont="1" applyFill="1" applyBorder="1"/>
    <xf numFmtId="170" fontId="10" fillId="6" borderId="0" xfId="0" applyNumberFormat="1" applyFont="1" applyFill="1"/>
    <xf numFmtId="9" fontId="11" fillId="5" borderId="1" xfId="2" applyFont="1" applyFill="1" applyBorder="1" applyProtection="1"/>
    <xf numFmtId="168" fontId="2" fillId="5" borderId="0" xfId="0" applyNumberFormat="1" applyFont="1" applyFill="1"/>
    <xf numFmtId="170" fontId="10" fillId="0" borderId="0" xfId="0" applyNumberFormat="1" applyFont="1"/>
    <xf numFmtId="0" fontId="3" fillId="0" borderId="0" xfId="0" applyFont="1" applyAlignment="1">
      <alignment horizontal="center"/>
    </xf>
    <xf numFmtId="3" fontId="4" fillId="0" borderId="0" xfId="0" applyNumberFormat="1" applyFont="1"/>
    <xf numFmtId="0" fontId="11" fillId="0" borderId="17" xfId="0" applyFont="1" applyBorder="1"/>
    <xf numFmtId="170" fontId="11" fillId="0" borderId="17" xfId="0" applyNumberFormat="1" applyFont="1" applyBorder="1"/>
    <xf numFmtId="9" fontId="11" fillId="0" borderId="17" xfId="2" applyFont="1" applyBorder="1" applyProtection="1"/>
    <xf numFmtId="172" fontId="11" fillId="0" borderId="17" xfId="1" applyNumberFormat="1" applyFont="1" applyBorder="1" applyProtection="1"/>
    <xf numFmtId="10" fontId="11" fillId="0" borderId="17" xfId="2" applyNumberFormat="1" applyFont="1" applyBorder="1" applyProtection="1"/>
    <xf numFmtId="164" fontId="4" fillId="0" borderId="0" xfId="0" applyNumberFormat="1" applyFont="1"/>
    <xf numFmtId="170" fontId="4" fillId="0" borderId="0" xfId="0" applyNumberFormat="1" applyFont="1"/>
    <xf numFmtId="174" fontId="10" fillId="0" borderId="0" xfId="2" applyNumberFormat="1" applyFont="1" applyProtection="1"/>
    <xf numFmtId="172" fontId="10" fillId="0" borderId="0" xfId="1" applyNumberFormat="1" applyFont="1" applyProtection="1"/>
    <xf numFmtId="3" fontId="4" fillId="0" borderId="0" xfId="0" applyNumberFormat="1" applyFont="1" applyAlignment="1">
      <alignment horizontal="center"/>
    </xf>
    <xf numFmtId="3" fontId="4" fillId="0" borderId="0" xfId="2" applyNumberFormat="1" applyFont="1" applyFill="1" applyBorder="1" applyProtection="1"/>
    <xf numFmtId="174" fontId="10" fillId="0" borderId="0" xfId="2" applyNumberFormat="1" applyFont="1" applyFill="1" applyProtection="1"/>
    <xf numFmtId="168" fontId="2" fillId="0" borderId="18" xfId="0" applyNumberFormat="1" applyFont="1" applyBorder="1"/>
    <xf numFmtId="168" fontId="2" fillId="0" borderId="12" xfId="0" applyNumberFormat="1" applyFont="1" applyBorder="1"/>
    <xf numFmtId="0" fontId="2" fillId="0" borderId="17" xfId="0" applyFont="1" applyBorder="1" applyAlignment="1">
      <alignment horizontal="left" indent="1"/>
    </xf>
    <xf numFmtId="170" fontId="10" fillId="0" borderId="17" xfId="0" applyNumberFormat="1" applyFont="1" applyBorder="1"/>
    <xf numFmtId="4" fontId="2" fillId="0" borderId="17" xfId="0" applyNumberFormat="1" applyFont="1" applyBorder="1"/>
    <xf numFmtId="172" fontId="2" fillId="0" borderId="17" xfId="1" applyNumberFormat="1" applyFont="1" applyBorder="1" applyProtection="1"/>
    <xf numFmtId="10" fontId="2" fillId="0" borderId="17" xfId="2" applyNumberFormat="1" applyFont="1" applyBorder="1" applyProtection="1"/>
    <xf numFmtId="3" fontId="3" fillId="0" borderId="0" xfId="2" applyNumberFormat="1" applyFont="1" applyFill="1" applyBorder="1" applyProtection="1"/>
    <xf numFmtId="0" fontId="11" fillId="0" borderId="13" xfId="0" applyFont="1" applyBorder="1"/>
    <xf numFmtId="170" fontId="11" fillId="0" borderId="13" xfId="0" applyNumberFormat="1" applyFont="1" applyBorder="1"/>
    <xf numFmtId="9" fontId="11" fillId="0" borderId="13" xfId="2" applyFont="1" applyBorder="1" applyProtection="1"/>
    <xf numFmtId="172" fontId="11" fillId="0" borderId="13" xfId="1" applyNumberFormat="1" applyFont="1" applyBorder="1" applyProtection="1"/>
    <xf numFmtId="10" fontId="11" fillId="0" borderId="13" xfId="2" applyNumberFormat="1" applyFont="1" applyBorder="1" applyProtection="1"/>
    <xf numFmtId="0" fontId="11" fillId="0" borderId="15" xfId="0" applyFont="1" applyBorder="1"/>
    <xf numFmtId="170" fontId="11" fillId="0" borderId="15" xfId="1" applyNumberFormat="1" applyFont="1" applyBorder="1" applyProtection="1"/>
    <xf numFmtId="9" fontId="11" fillId="0" borderId="15" xfId="2" applyFont="1" applyBorder="1" applyProtection="1"/>
    <xf numFmtId="172" fontId="11" fillId="0" borderId="15" xfId="1" applyNumberFormat="1" applyFont="1" applyBorder="1" applyProtection="1"/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 vertical="center" textRotation="90"/>
    </xf>
    <xf numFmtId="4" fontId="10" fillId="0" borderId="0" xfId="0" applyNumberFormat="1" applyFont="1"/>
    <xf numFmtId="168" fontId="2" fillId="0" borderId="19" xfId="0" applyNumberFormat="1" applyFont="1" applyBorder="1"/>
    <xf numFmtId="9" fontId="10" fillId="0" borderId="0" xfId="2" applyFont="1" applyFill="1" applyBorder="1" applyProtection="1"/>
    <xf numFmtId="3" fontId="2" fillId="0" borderId="0" xfId="2" applyNumberFormat="1" applyFont="1" applyFill="1" applyBorder="1" applyProtection="1"/>
    <xf numFmtId="3" fontId="11" fillId="0" borderId="0" xfId="2" applyNumberFormat="1" applyFont="1" applyFill="1" applyBorder="1" applyProtection="1"/>
    <xf numFmtId="9" fontId="2" fillId="0" borderId="0" xfId="2" applyFont="1" applyFill="1" applyBorder="1" applyProtection="1"/>
    <xf numFmtId="10" fontId="11" fillId="0" borderId="3" xfId="2" applyNumberFormat="1" applyFont="1" applyBorder="1" applyProtection="1"/>
    <xf numFmtId="4" fontId="2" fillId="0" borderId="0" xfId="2" applyNumberFormat="1" applyFont="1" applyFill="1" applyBorder="1" applyProtection="1"/>
    <xf numFmtId="4" fontId="11" fillId="0" borderId="0" xfId="2" applyNumberFormat="1" applyFont="1" applyFill="1" applyBorder="1" applyProtection="1"/>
    <xf numFmtId="0" fontId="11" fillId="5" borderId="20" xfId="0" applyFont="1" applyFill="1" applyBorder="1"/>
    <xf numFmtId="168" fontId="11" fillId="5" borderId="21" xfId="1" applyNumberFormat="1" applyFont="1" applyFill="1" applyBorder="1" applyProtection="1"/>
    <xf numFmtId="168" fontId="11" fillId="5" borderId="20" xfId="0" applyNumberFormat="1" applyFont="1" applyFill="1" applyBorder="1"/>
    <xf numFmtId="3" fontId="11" fillId="0" borderId="15" xfId="0" applyNumberFormat="1" applyFont="1" applyBorder="1"/>
    <xf numFmtId="10" fontId="11" fillId="0" borderId="15" xfId="0" applyNumberFormat="1" applyFont="1" applyBorder="1"/>
    <xf numFmtId="4" fontId="11" fillId="0" borderId="0" xfId="0" applyNumberFormat="1" applyFont="1" applyAlignment="1">
      <alignment horizontal="left" vertical="center"/>
    </xf>
    <xf numFmtId="9" fontId="11" fillId="0" borderId="0" xfId="2" applyFont="1" applyAlignment="1" applyProtection="1">
      <alignment horizontal="right" vertical="center"/>
    </xf>
    <xf numFmtId="4" fontId="11" fillId="0" borderId="0" xfId="0" applyNumberFormat="1" applyFont="1" applyAlignment="1">
      <alignment horizontal="center" vertical="center"/>
    </xf>
    <xf numFmtId="168" fontId="11" fillId="0" borderId="22" xfId="0" applyNumberFormat="1" applyFont="1" applyBorder="1"/>
    <xf numFmtId="168" fontId="11" fillId="0" borderId="17" xfId="0" applyNumberFormat="1" applyFont="1" applyBorder="1"/>
    <xf numFmtId="0" fontId="11" fillId="0" borderId="1" xfId="0" applyFont="1" applyBorder="1" applyAlignment="1">
      <alignment horizontal="center"/>
    </xf>
    <xf numFmtId="169" fontId="4" fillId="0" borderId="9" xfId="0" applyNumberFormat="1" applyFont="1" applyBorder="1"/>
    <xf numFmtId="170" fontId="10" fillId="0" borderId="13" xfId="0" applyNumberFormat="1" applyFont="1" applyBorder="1"/>
    <xf numFmtId="168" fontId="11" fillId="5" borderId="21" xfId="0" applyNumberFormat="1" applyFont="1" applyFill="1" applyBorder="1"/>
    <xf numFmtId="3" fontId="2" fillId="0" borderId="1" xfId="0" applyNumberFormat="1" applyFont="1" applyBorder="1"/>
    <xf numFmtId="3" fontId="2" fillId="0" borderId="6" xfId="0" applyNumberFormat="1" applyFont="1" applyBorder="1"/>
    <xf numFmtId="169" fontId="2" fillId="5" borderId="0" xfId="2" applyNumberFormat="1" applyFont="1" applyFill="1" applyProtection="1"/>
    <xf numFmtId="169" fontId="11" fillId="5" borderId="1" xfId="2" applyNumberFormat="1" applyFont="1" applyFill="1" applyBorder="1" applyProtection="1"/>
    <xf numFmtId="169" fontId="2" fillId="0" borderId="12" xfId="2" applyNumberFormat="1" applyFont="1" applyBorder="1" applyProtection="1"/>
    <xf numFmtId="169" fontId="2" fillId="0" borderId="23" xfId="2" applyNumberFormat="1" applyFont="1" applyBorder="1" applyProtection="1"/>
    <xf numFmtId="169" fontId="2" fillId="5" borderId="17" xfId="2" applyNumberFormat="1" applyFont="1" applyFill="1" applyBorder="1" applyProtection="1"/>
    <xf numFmtId="169" fontId="2" fillId="0" borderId="22" xfId="2" applyNumberFormat="1" applyFont="1" applyBorder="1" applyProtection="1"/>
    <xf numFmtId="3" fontId="10" fillId="0" borderId="24" xfId="0" applyNumberFormat="1" applyFont="1" applyBorder="1"/>
    <xf numFmtId="169" fontId="2" fillId="5" borderId="25" xfId="2" applyNumberFormat="1" applyFont="1" applyFill="1" applyBorder="1" applyProtection="1"/>
    <xf numFmtId="169" fontId="11" fillId="5" borderId="0" xfId="2" applyNumberFormat="1" applyFont="1" applyFill="1" applyBorder="1" applyProtection="1"/>
    <xf numFmtId="169" fontId="2" fillId="5" borderId="1" xfId="2" applyNumberFormat="1" applyFont="1" applyFill="1" applyBorder="1" applyProtection="1"/>
    <xf numFmtId="0" fontId="3" fillId="4" borderId="0" xfId="0" applyFont="1" applyFill="1"/>
    <xf numFmtId="168" fontId="4" fillId="4" borderId="1" xfId="0" applyNumberFormat="1" applyFont="1" applyFill="1" applyBorder="1"/>
    <xf numFmtId="168" fontId="3" fillId="4" borderId="0" xfId="0" applyNumberFormat="1" applyFont="1" applyFill="1"/>
    <xf numFmtId="169" fontId="2" fillId="0" borderId="26" xfId="2" applyNumberFormat="1" applyFont="1" applyBorder="1" applyProtection="1"/>
    <xf numFmtId="169" fontId="2" fillId="5" borderId="12" xfId="2" applyNumberFormat="1" applyFont="1" applyFill="1" applyBorder="1" applyProtection="1"/>
    <xf numFmtId="169" fontId="2" fillId="0" borderId="18" xfId="2" applyNumberFormat="1" applyFont="1" applyBorder="1" applyProtection="1"/>
    <xf numFmtId="0" fontId="4" fillId="4" borderId="0" xfId="0" applyFont="1" applyFill="1"/>
    <xf numFmtId="168" fontId="4" fillId="4" borderId="0" xfId="0" applyNumberFormat="1" applyFont="1" applyFill="1"/>
    <xf numFmtId="0" fontId="6" fillId="4" borderId="0" xfId="0" applyFont="1" applyFill="1"/>
    <xf numFmtId="168" fontId="6" fillId="4" borderId="1" xfId="0" applyNumberFormat="1" applyFont="1" applyFill="1" applyBorder="1"/>
    <xf numFmtId="168" fontId="6" fillId="4" borderId="0" xfId="0" applyNumberFormat="1" applyFont="1" applyFill="1"/>
    <xf numFmtId="0" fontId="11" fillId="0" borderId="0" xfId="0" applyFont="1" applyAlignment="1">
      <alignment vertical="center" textRotation="90" wrapText="1"/>
    </xf>
    <xf numFmtId="173" fontId="4" fillId="4" borderId="1" xfId="1" applyNumberFormat="1" applyFont="1" applyFill="1" applyBorder="1" applyProtection="1"/>
    <xf numFmtId="9" fontId="11" fillId="0" borderId="3" xfId="2" applyFont="1" applyBorder="1" applyProtection="1"/>
    <xf numFmtId="168" fontId="14" fillId="9" borderId="0" xfId="0" applyNumberFormat="1" applyFont="1" applyFill="1" applyAlignment="1">
      <alignment horizontal="left" vertical="center"/>
    </xf>
    <xf numFmtId="168" fontId="2" fillId="9" borderId="1" xfId="0" applyNumberFormat="1" applyFont="1" applyFill="1" applyBorder="1" applyAlignment="1">
      <alignment horizontal="center" vertical="center"/>
    </xf>
    <xf numFmtId="168" fontId="2" fillId="9" borderId="0" xfId="0" applyNumberFormat="1" applyFont="1" applyFill="1" applyAlignment="1">
      <alignment horizontal="center" vertical="center"/>
    </xf>
    <xf numFmtId="168" fontId="2" fillId="9" borderId="0" xfId="0" applyNumberFormat="1" applyFont="1" applyFill="1"/>
    <xf numFmtId="168" fontId="2" fillId="0" borderId="1" xfId="0" applyNumberFormat="1" applyFont="1" applyBorder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8" fontId="2" fillId="0" borderId="1" xfId="0" applyNumberFormat="1" applyFont="1" applyBorder="1" applyAlignment="1">
      <alignment horizontal="right" vertical="center"/>
    </xf>
    <xf numFmtId="168" fontId="2" fillId="0" borderId="0" xfId="0" applyNumberFormat="1" applyFont="1" applyAlignment="1">
      <alignment horizontal="center"/>
    </xf>
    <xf numFmtId="0" fontId="16" fillId="0" borderId="0" xfId="0" applyFont="1"/>
    <xf numFmtId="168" fontId="11" fillId="5" borderId="14" xfId="2" applyNumberFormat="1" applyFont="1" applyFill="1" applyBorder="1" applyProtection="1"/>
    <xf numFmtId="9" fontId="2" fillId="5" borderId="1" xfId="2" applyFont="1" applyFill="1" applyBorder="1" applyProtection="1"/>
    <xf numFmtId="0" fontId="11" fillId="0" borderId="0" xfId="0" applyFont="1" applyAlignment="1">
      <alignment horizontal="center" vertical="center" textRotation="90"/>
    </xf>
    <xf numFmtId="168" fontId="17" fillId="0" borderId="22" xfId="0" applyNumberFormat="1" applyFont="1" applyBorder="1"/>
    <xf numFmtId="168" fontId="7" fillId="0" borderId="17" xfId="0" applyNumberFormat="1" applyFont="1" applyBorder="1"/>
    <xf numFmtId="168" fontId="2" fillId="5" borderId="14" xfId="0" applyNumberFormat="1" applyFont="1" applyFill="1" applyBorder="1"/>
    <xf numFmtId="168" fontId="2" fillId="5" borderId="3" xfId="0" applyNumberFormat="1" applyFont="1" applyFill="1" applyBorder="1"/>
    <xf numFmtId="168" fontId="11" fillId="5" borderId="0" xfId="0" applyNumberFormat="1" applyFont="1" applyFill="1"/>
    <xf numFmtId="9" fontId="2" fillId="0" borderId="6" xfId="2" applyFont="1" applyBorder="1" applyProtection="1"/>
    <xf numFmtId="169" fontId="11" fillId="5" borderId="0" xfId="2" applyNumberFormat="1" applyFont="1" applyFill="1" applyProtection="1"/>
    <xf numFmtId="173" fontId="2" fillId="0" borderId="1" xfId="1" applyNumberFormat="1" applyFont="1" applyBorder="1" applyProtection="1"/>
    <xf numFmtId="9" fontId="10" fillId="0" borderId="6" xfId="2" applyFont="1" applyBorder="1" applyProtection="1"/>
    <xf numFmtId="169" fontId="2" fillId="0" borderId="0" xfId="2" applyNumberFormat="1" applyFont="1" applyFill="1" applyProtection="1"/>
    <xf numFmtId="169" fontId="2" fillId="0" borderId="25" xfId="2" applyNumberFormat="1" applyFont="1" applyFill="1" applyBorder="1" applyProtection="1"/>
    <xf numFmtId="169" fontId="2" fillId="0" borderId="1" xfId="2" applyNumberFormat="1" applyFont="1" applyFill="1" applyBorder="1" applyProtection="1"/>
    <xf numFmtId="168" fontId="2" fillId="0" borderId="1" xfId="2" applyNumberFormat="1" applyFont="1" applyFill="1" applyBorder="1" applyProtection="1"/>
    <xf numFmtId="0" fontId="18" fillId="0" borderId="0" xfId="0" applyFont="1"/>
    <xf numFmtId="168" fontId="10" fillId="0" borderId="1" xfId="0" applyNumberFormat="1" applyFont="1" applyBorder="1"/>
    <xf numFmtId="4" fontId="2" fillId="0" borderId="0" xfId="0" applyNumberFormat="1" applyFont="1" applyAlignment="1">
      <alignment horizontal="right"/>
    </xf>
    <xf numFmtId="4" fontId="11" fillId="0" borderId="0" xfId="0" applyNumberFormat="1" applyFont="1"/>
    <xf numFmtId="10" fontId="2" fillId="0" borderId="12" xfId="2" applyNumberFormat="1" applyFont="1" applyBorder="1" applyProtection="1"/>
    <xf numFmtId="165" fontId="2" fillId="0" borderId="12" xfId="0" applyNumberFormat="1" applyFont="1" applyBorder="1"/>
    <xf numFmtId="165" fontId="10" fillId="0" borderId="0" xfId="0" applyNumberFormat="1" applyFont="1"/>
    <xf numFmtId="10" fontId="2" fillId="0" borderId="8" xfId="2" applyNumberFormat="1" applyFont="1" applyBorder="1" applyProtection="1"/>
    <xf numFmtId="165" fontId="2" fillId="0" borderId="8" xfId="0" applyNumberFormat="1" applyFont="1" applyBorder="1"/>
    <xf numFmtId="10" fontId="11" fillId="0" borderId="0" xfId="0" applyNumberFormat="1" applyFont="1"/>
    <xf numFmtId="10" fontId="11" fillId="0" borderId="0" xfId="2" applyNumberFormat="1" applyFont="1" applyProtection="1"/>
    <xf numFmtId="169" fontId="2" fillId="0" borderId="0" xfId="2" applyNumberFormat="1" applyFont="1" applyFill="1" applyBorder="1" applyProtection="1"/>
    <xf numFmtId="0" fontId="11" fillId="0" borderId="0" xfId="0" applyFont="1" applyAlignment="1">
      <alignment horizontal="right"/>
    </xf>
    <xf numFmtId="4" fontId="11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left" indent="2"/>
    </xf>
    <xf numFmtId="168" fontId="17" fillId="0" borderId="1" xfId="0" applyNumberFormat="1" applyFont="1" applyBorder="1"/>
    <xf numFmtId="168" fontId="17" fillId="0" borderId="0" xfId="0" applyNumberFormat="1" applyFont="1"/>
    <xf numFmtId="4" fontId="19" fillId="0" borderId="0" xfId="0" applyNumberFormat="1" applyFont="1"/>
    <xf numFmtId="4" fontId="8" fillId="0" borderId="0" xfId="2" applyNumberFormat="1" applyFont="1" applyFill="1" applyBorder="1" applyAlignment="1" applyProtection="1">
      <alignment horizontal="right" vertical="center"/>
    </xf>
    <xf numFmtId="0" fontId="17" fillId="0" borderId="0" xfId="0" applyFont="1" applyAlignment="1">
      <alignment horizontal="left" indent="1"/>
    </xf>
    <xf numFmtId="4" fontId="8" fillId="0" borderId="8" xfId="2" applyNumberFormat="1" applyFont="1" applyFill="1" applyBorder="1" applyAlignment="1" applyProtection="1">
      <alignment horizontal="right" vertical="center"/>
    </xf>
    <xf numFmtId="9" fontId="7" fillId="0" borderId="0" xfId="0" applyNumberFormat="1" applyFont="1"/>
    <xf numFmtId="4" fontId="7" fillId="0" borderId="0" xfId="2" applyNumberFormat="1" applyFont="1" applyFill="1" applyBorder="1" applyAlignment="1" applyProtection="1">
      <alignment horizontal="right" vertical="center"/>
    </xf>
    <xf numFmtId="4" fontId="2" fillId="0" borderId="0" xfId="0" applyNumberFormat="1" applyFont="1" applyAlignment="1">
      <alignment horizontal="center" vertical="center"/>
    </xf>
    <xf numFmtId="169" fontId="10" fillId="0" borderId="0" xfId="2" applyNumberFormat="1" applyFont="1" applyFill="1" applyBorder="1" applyAlignment="1" applyProtection="1">
      <alignment horizontal="center" vertical="center"/>
    </xf>
    <xf numFmtId="165" fontId="2" fillId="0" borderId="3" xfId="0" applyNumberFormat="1" applyFont="1" applyBorder="1"/>
    <xf numFmtId="165" fontId="8" fillId="0" borderId="0" xfId="0" applyNumberFormat="1" applyFont="1"/>
    <xf numFmtId="0" fontId="9" fillId="0" borderId="0" xfId="0" applyFont="1" applyAlignment="1">
      <alignment textRotation="90"/>
    </xf>
    <xf numFmtId="9" fontId="2" fillId="0" borderId="0" xfId="0" applyNumberFormat="1" applyFont="1"/>
    <xf numFmtId="4" fontId="2" fillId="0" borderId="1" xfId="0" applyNumberFormat="1" applyFont="1" applyBorder="1"/>
    <xf numFmtId="165" fontId="8" fillId="0" borderId="8" xfId="0" applyNumberFormat="1" applyFont="1" applyBorder="1"/>
    <xf numFmtId="0" fontId="14" fillId="2" borderId="0" xfId="0" applyFont="1" applyFill="1" applyAlignment="1">
      <alignment horizontal="right"/>
    </xf>
    <xf numFmtId="0" fontId="5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11" fillId="10" borderId="0" xfId="0" applyFont="1" applyFill="1"/>
    <xf numFmtId="0" fontId="11" fillId="10" borderId="1" xfId="0" applyFont="1" applyFill="1" applyBorder="1"/>
    <xf numFmtId="9" fontId="11" fillId="0" borderId="0" xfId="0" applyNumberFormat="1" applyFont="1"/>
    <xf numFmtId="0" fontId="8" fillId="0" borderId="0" xfId="0" applyFont="1" applyAlignment="1">
      <alignment horizontal="left" indent="1"/>
    </xf>
    <xf numFmtId="9" fontId="8" fillId="0" borderId="0" xfId="2" applyFont="1" applyProtection="1"/>
    <xf numFmtId="3" fontId="8" fillId="0" borderId="0" xfId="2" applyNumberFormat="1" applyFont="1" applyFill="1" applyBorder="1" applyProtection="1"/>
    <xf numFmtId="172" fontId="8" fillId="0" borderId="0" xfId="0" applyNumberFormat="1" applyFont="1"/>
    <xf numFmtId="14" fontId="7" fillId="0" borderId="0" xfId="0" applyNumberFormat="1" applyFont="1"/>
    <xf numFmtId="0" fontId="20" fillId="11" borderId="0" xfId="0" applyFont="1" applyFill="1" applyAlignment="1">
      <alignment horizontal="left" wrapText="1" readingOrder="1"/>
    </xf>
    <xf numFmtId="0" fontId="20" fillId="11" borderId="0" xfId="0" applyFont="1" applyFill="1" applyAlignment="1">
      <alignment horizontal="right" wrapText="1" readingOrder="1"/>
    </xf>
    <xf numFmtId="0" fontId="7" fillId="8" borderId="3" xfId="0" applyFont="1" applyFill="1" applyBorder="1"/>
    <xf numFmtId="3" fontId="7" fillId="8" borderId="3" xfId="0" applyNumberFormat="1" applyFont="1" applyFill="1" applyBorder="1"/>
    <xf numFmtId="3" fontId="7" fillId="8" borderId="3" xfId="2" applyNumberFormat="1" applyFont="1" applyFill="1" applyBorder="1" applyProtection="1"/>
    <xf numFmtId="14" fontId="7" fillId="8" borderId="3" xfId="0" applyNumberFormat="1" applyFont="1" applyFill="1" applyBorder="1"/>
    <xf numFmtId="0" fontId="21" fillId="0" borderId="0" xfId="0" applyFont="1" applyAlignment="1">
      <alignment horizontal="left" wrapText="1" indent="1" readingOrder="1"/>
    </xf>
    <xf numFmtId="3" fontId="21" fillId="0" borderId="0" xfId="0" applyNumberFormat="1" applyFont="1" applyAlignment="1">
      <alignment horizontal="right" wrapText="1" readingOrder="1"/>
    </xf>
    <xf numFmtId="169" fontId="21" fillId="0" borderId="0" xfId="2" applyNumberFormat="1" applyFont="1" applyAlignment="1" applyProtection="1">
      <alignment horizontal="right" wrapText="1" readingOrder="1"/>
    </xf>
    <xf numFmtId="9" fontId="8" fillId="0" borderId="0" xfId="2" applyFont="1" applyFill="1" applyBorder="1" applyProtection="1"/>
    <xf numFmtId="3" fontId="7" fillId="0" borderId="0" xfId="0" applyNumberFormat="1" applyFont="1"/>
    <xf numFmtId="0" fontId="21" fillId="0" borderId="27" xfId="0" applyFont="1" applyBorder="1" applyAlignment="1">
      <alignment horizontal="left" wrapText="1" indent="1" readingOrder="1"/>
    </xf>
    <xf numFmtId="175" fontId="21" fillId="0" borderId="0" xfId="0" applyNumberFormat="1" applyFont="1" applyAlignment="1">
      <alignment horizontal="right" wrapText="1" readingOrder="1"/>
    </xf>
    <xf numFmtId="0" fontId="2" fillId="0" borderId="28" xfId="0" applyFont="1" applyBorder="1"/>
    <xf numFmtId="0" fontId="22" fillId="0" borderId="29" xfId="0" applyFont="1" applyBorder="1" applyAlignment="1">
      <alignment horizontal="left" wrapText="1" readingOrder="1"/>
    </xf>
    <xf numFmtId="3" fontId="22" fillId="0" borderId="29" xfId="0" applyNumberFormat="1" applyFont="1" applyBorder="1" applyAlignment="1">
      <alignment horizontal="right" wrapText="1" readingOrder="1"/>
    </xf>
    <xf numFmtId="3" fontId="22" fillId="0" borderId="3" xfId="0" applyNumberFormat="1" applyFont="1" applyBorder="1" applyAlignment="1">
      <alignment horizontal="right" wrapText="1" readingOrder="1"/>
    </xf>
    <xf numFmtId="169" fontId="22" fillId="0" borderId="3" xfId="2" applyNumberFormat="1" applyFont="1" applyBorder="1" applyAlignment="1" applyProtection="1">
      <alignment horizontal="right" wrapText="1" readingOrder="1"/>
    </xf>
    <xf numFmtId="0" fontId="23" fillId="0" borderId="0" xfId="0" applyFont="1" applyAlignment="1">
      <alignment vertical="center" wrapText="1"/>
    </xf>
    <xf numFmtId="172" fontId="7" fillId="0" borderId="0" xfId="0" applyNumberFormat="1" applyFont="1"/>
    <xf numFmtId="175" fontId="21" fillId="12" borderId="0" xfId="0" applyNumberFormat="1" applyFont="1" applyFill="1" applyAlignment="1">
      <alignment horizontal="right" wrapText="1" readingOrder="1"/>
    </xf>
    <xf numFmtId="175" fontId="2" fillId="0" borderId="0" xfId="0" applyNumberFormat="1" applyFont="1"/>
    <xf numFmtId="0" fontId="7" fillId="5" borderId="3" xfId="0" applyFont="1" applyFill="1" applyBorder="1"/>
    <xf numFmtId="3" fontId="7" fillId="5" borderId="3" xfId="0" applyNumberFormat="1" applyFont="1" applyFill="1" applyBorder="1"/>
    <xf numFmtId="175" fontId="21" fillId="0" borderId="27" xfId="0" applyNumberFormat="1" applyFont="1" applyBorder="1" applyAlignment="1">
      <alignment horizontal="right" wrapText="1" readingOrder="1"/>
    </xf>
    <xf numFmtId="175" fontId="22" fillId="0" borderId="29" xfId="0" applyNumberFormat="1" applyFont="1" applyBorder="1" applyAlignment="1">
      <alignment horizontal="right" wrapText="1" readingOrder="1"/>
    </xf>
    <xf numFmtId="169" fontId="22" fillId="0" borderId="30" xfId="2" applyNumberFormat="1" applyFont="1" applyBorder="1" applyAlignment="1" applyProtection="1">
      <alignment horizontal="right" wrapText="1" readingOrder="1"/>
    </xf>
    <xf numFmtId="0" fontId="22" fillId="13" borderId="29" xfId="0" applyFont="1" applyFill="1" applyBorder="1" applyAlignment="1">
      <alignment horizontal="left" wrapText="1" readingOrder="1"/>
    </xf>
    <xf numFmtId="175" fontId="22" fillId="13" borderId="29" xfId="0" applyNumberFormat="1" applyFont="1" applyFill="1" applyBorder="1" applyAlignment="1">
      <alignment horizontal="right" wrapText="1" readingOrder="1"/>
    </xf>
    <xf numFmtId="169" fontId="22" fillId="13" borderId="29" xfId="2" applyNumberFormat="1" applyFont="1" applyFill="1" applyBorder="1" applyAlignment="1" applyProtection="1">
      <alignment horizontal="right" wrapText="1" readingOrder="1"/>
    </xf>
    <xf numFmtId="0" fontId="2" fillId="0" borderId="0" xfId="0" applyFont="1" applyAlignment="1">
      <alignment vertical="center"/>
    </xf>
    <xf numFmtId="9" fontId="11" fillId="0" borderId="0" xfId="2" applyFont="1" applyFill="1" applyBorder="1" applyProtection="1"/>
    <xf numFmtId="0" fontId="4" fillId="2" borderId="1" xfId="0" applyFont="1" applyFill="1" applyBorder="1"/>
    <xf numFmtId="0" fontId="3" fillId="0" borderId="0" xfId="0" applyFont="1"/>
    <xf numFmtId="14" fontId="3" fillId="0" borderId="0" xfId="0" applyNumberFormat="1" applyFont="1"/>
    <xf numFmtId="172" fontId="2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175" fontId="22" fillId="0" borderId="0" xfId="0" applyNumberFormat="1" applyFont="1" applyAlignment="1">
      <alignment horizontal="right" wrapText="1" readingOrder="1"/>
    </xf>
    <xf numFmtId="172" fontId="11" fillId="0" borderId="0" xfId="0" applyNumberFormat="1" applyFont="1"/>
    <xf numFmtId="172" fontId="11" fillId="0" borderId="0" xfId="2" applyNumberFormat="1" applyFont="1" applyFill="1" applyBorder="1" applyProtection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 vertical="center" textRotation="90" wrapText="1"/>
    </xf>
    <xf numFmtId="0" fontId="14" fillId="0" borderId="0" xfId="0" applyFont="1" applyAlignment="1">
      <alignment horizontal="right" vertical="center" textRotation="90" wrapText="1"/>
    </xf>
    <xf numFmtId="0" fontId="9" fillId="0" borderId="0" xfId="0" applyFont="1" applyAlignment="1">
      <alignment horizontal="center" vertical="center" textRotation="90"/>
    </xf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176" fontId="0" fillId="0" borderId="0" xfId="0" applyNumberFormat="1"/>
    <xf numFmtId="0" fontId="26" fillId="14" borderId="0" xfId="0" applyFont="1" applyFill="1" applyAlignment="1">
      <alignment horizontal="center" vertical="center" wrapText="1"/>
    </xf>
    <xf numFmtId="0" fontId="26" fillId="14" borderId="0" xfId="0" applyFont="1" applyFill="1" applyAlignment="1">
      <alignment horizontal="center"/>
    </xf>
    <xf numFmtId="0" fontId="27" fillId="0" borderId="0" xfId="0" applyFont="1"/>
    <xf numFmtId="177" fontId="0" fillId="0" borderId="0" xfId="0" applyNumberFormat="1"/>
    <xf numFmtId="38" fontId="0" fillId="0" borderId="0" xfId="0" applyNumberFormat="1"/>
    <xf numFmtId="38" fontId="0" fillId="15" borderId="0" xfId="0" applyNumberFormat="1" applyFill="1"/>
    <xf numFmtId="0" fontId="0" fillId="15" borderId="0" xfId="0" applyFill="1"/>
    <xf numFmtId="10" fontId="0" fillId="0" borderId="31" xfId="0" applyNumberFormat="1" applyBorder="1"/>
    <xf numFmtId="177" fontId="0" fillId="0" borderId="31" xfId="0" applyNumberFormat="1" applyBorder="1"/>
    <xf numFmtId="38" fontId="27" fillId="16" borderId="31" xfId="0" applyNumberFormat="1" applyFont="1" applyFill="1" applyBorder="1"/>
    <xf numFmtId="0" fontId="27" fillId="16" borderId="31" xfId="0" applyFont="1" applyFill="1" applyBorder="1"/>
    <xf numFmtId="0" fontId="0" fillId="0" borderId="31" xfId="0" applyBorder="1"/>
    <xf numFmtId="0" fontId="27" fillId="0" borderId="31" xfId="0" applyFont="1" applyBorder="1"/>
    <xf numFmtId="10" fontId="26" fillId="14" borderId="31" xfId="0" applyNumberFormat="1" applyFont="1" applyFill="1" applyBorder="1" applyAlignment="1">
      <alignment horizontal="right" vertical="center" wrapText="1"/>
    </xf>
    <xf numFmtId="177" fontId="26" fillId="14" borderId="31" xfId="0" applyNumberFormat="1" applyFont="1" applyFill="1" applyBorder="1" applyAlignment="1">
      <alignment horizontal="left" vertical="center" wrapText="1"/>
    </xf>
    <xf numFmtId="0" fontId="26" fillId="14" borderId="31" xfId="0" applyFont="1" applyFill="1" applyBorder="1" applyAlignment="1">
      <alignment horizontal="left" vertical="center" wrapText="1"/>
    </xf>
    <xf numFmtId="43" fontId="26" fillId="14" borderId="31" xfId="0" applyNumberFormat="1" applyFont="1" applyFill="1" applyBorder="1" applyAlignment="1">
      <alignment horizontal="left" vertical="center" wrapText="1"/>
    </xf>
    <xf numFmtId="0" fontId="26" fillId="14" borderId="31" xfId="0" applyFont="1" applyFill="1" applyBorder="1" applyAlignment="1">
      <alignment horizontal="center" vertical="center" wrapText="1"/>
    </xf>
    <xf numFmtId="0" fontId="28" fillId="0" borderId="31" xfId="0" applyFont="1" applyBorder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andesrealestate-my.sharepoint.com/personal/javier_andesrealestate_es/Documents/Andes%20Real%20Estate/4.%20Andes%20-%20Vizcaya/5.%20Inversiones/1.%20Marcenado%2015/1.%20Modelo%20financiero/Comite%20Inv/Modelo%20financiero%20Mercenado%2015%20-%20vsent.xlsx" TargetMode="External"/><Relationship Id="rId2" Type="http://schemas.microsoft.com/office/2019/04/relationships/externalLinkLongPath" Target="https://andesrealestate-my.sharepoint.com/personal/javier_andesrealestate_es/Documents/Andes%20Real%20Estate/4.%20Andes%20-%20Vizcaya/5.%20Inversiones/1.%20Marcenado%2015/1.%20Modelo%20financiero/Comite%20Inv/Modelo%20financiero%20Mercenado%2015%20-%20vsent.xlsx?B5A77C01" TargetMode="External"/><Relationship Id="rId1" Type="http://schemas.openxmlformats.org/officeDocument/2006/relationships/externalLinkPath" Target="file:///\\B5A77C01\Modelo%20financiero%20Mercenado%2015%20-%20vs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Portada"/>
      <sheetName val="Modelo  Viz"/>
      <sheetName val="Catastro"/>
    </sheetNames>
    <sheetDataSet>
      <sheetData sheetId="0">
        <row r="3">
          <cell r="C3" t="str">
            <v>Santa Cruz de Marcenado 15</v>
          </cell>
        </row>
      </sheetData>
      <sheetData sheetId="1"/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Modelo%20financiero%20Marcenado%20-%20vsent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15321" refreshedDate="46321.499608564824" createdVersion="8" refreshedVersion="8" minRefreshableVersion="3" recordCount="98" xr:uid="{94EA15CB-6762-42EC-95BA-02C61B71F05C}">
  <cacheSource type="worksheet">
    <worksheetSource ref="A1:P99" sheet="Plan VS Real Marcenado (2)" r:id="rId2"/>
  </cacheSource>
  <cacheFields count="16">
    <cacheField name="Fecha Valor" numFmtId="14">
      <sharedItems containsSemiMixedTypes="0" containsNonDate="0" containsDate="1" containsString="0" minDate="2025-10-13T00:00:00" maxDate="2026-10-10T00:00:00"/>
    </cacheField>
    <cacheField name="Concepto" numFmtId="0">
      <sharedItems/>
    </cacheField>
    <cacheField name="Monto consolidado" numFmtId="4">
      <sharedItems containsString="0" containsBlank="1" containsNumber="1" minValue="-400018" maxValue="1019994"/>
    </cacheField>
    <cacheField name="Importe" numFmtId="4">
      <sharedItems containsSemiMixedTypes="0" containsString="0" containsNumber="1" minValue="-400018" maxValue="1019994"/>
    </cacheField>
    <cacheField name="Divisa" numFmtId="0">
      <sharedItems containsBlank="1"/>
    </cacheField>
    <cacheField name="Saldo" numFmtId="4">
      <sharedItems containsString="0" containsBlank="1" containsNumber="1" minValue="2011.22" maxValue="2074009.5"/>
    </cacheField>
    <cacheField name="Divisa2" numFmtId="0">
      <sharedItems containsBlank="1"/>
    </cacheField>
    <cacheField name="Código" numFmtId="0">
      <sharedItems containsBlank="1" containsMixedTypes="1" containsNumber="1" containsInteger="1" minValue="174" maxValue="174"/>
    </cacheField>
    <cacheField name="Número de documento" numFmtId="0">
      <sharedItems containsBlank="1"/>
    </cacheField>
    <cacheField name="Referencia 1" numFmtId="0">
      <sharedItems containsBlank="1"/>
    </cacheField>
    <cacheField name="Referencia 2" numFmtId="0">
      <sharedItems containsBlank="1"/>
    </cacheField>
    <cacheField name="Información adicional" numFmtId="0">
      <sharedItems containsNonDate="0" containsString="0" containsBlank="1"/>
    </cacheField>
    <cacheField name="Categoria" numFmtId="0">
      <sharedItems containsBlank="1"/>
    </cacheField>
    <cacheField name="Sub Categoria 1" numFmtId="0">
      <sharedItems containsBlank="1"/>
    </cacheField>
    <cacheField name="Sub categoria 2" numFmtId="0">
      <sharedItems containsBlank="1" count="7">
        <s v="Inversion"/>
        <s v="Reforma"/>
        <s v="Gastos Propiedad"/>
        <s v="Operacional"/>
        <s v="Venta de la propiedad"/>
        <s v="Venta de la propiedad Gastos"/>
        <m/>
      </sharedItems>
    </cacheField>
    <cacheField name="Sub categoria 3" numFmtId="0">
      <sharedItems containsBlank="1" count="37">
        <s v="Arras"/>
        <s v="Pago saldo de precio"/>
        <s v="Reforma"/>
        <s v="Comisión Andes"/>
        <s v="Comision Broker"/>
        <s v="Honorarioos Legales"/>
        <s v="Impuestos"/>
        <s v="Provisión de fondos para el pago de la Factura de Notaría 22502877-A"/>
        <s v="Provisión de fondos relativos al pago de la inscripción de la mencionada escritura en el Registro de la Propiedad."/>
        <s v="Honorario Gestoria"/>
        <s v="Provisión de fondos para el pago de la factura del Registro de la Propiedad por la inscripción de cancelación de hipoteca"/>
        <s v="Cuentas basicas / GGCC"/>
        <s v="Contabilidad Dic2025"/>
        <s v="Contabilidad Nov2025"/>
        <s v="Contabilidad Oct2025"/>
        <s v="Sus Fras. Notaría, Registro Mercantil de Madrid, Registro Mercantil Central y FNMT-RCM."/>
        <s v="Retenciones"/>
        <s v="Ibi Y Tasa Gestión De Residuos Proporcional 2025"/>
        <s v="Amoblar"/>
        <s v="Seguro"/>
        <s v="Contabilidad Feb2026"/>
        <s v="Contabilidad Enero2026"/>
        <s v="Contabilidad Marzo2026"/>
        <s v="Gastos notariales por prenda de FFMM a favor de la TC"/>
        <s v="Operación Fallida de Arapiles (costo de emisión de Cheques bancarios)"/>
        <s v="Contabilidad Abril2026"/>
        <s v="Contabilidad Mayo2026"/>
        <s v="Contabilidad Junio2026"/>
        <s v="Contabilidad Julio2026"/>
        <s v="Corretaje"/>
        <s v="Saldo de precio"/>
        <s v="Certificado"/>
        <s v="Honorarios Legales"/>
        <s v="Reembolso TGR"/>
        <s v="Reembolso IBI"/>
        <s v="Reembolso IBI y TG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d v="2025-10-13T00:00:00"/>
    <s v="Transferencia A Favor De Carmen Soler Caturla Concepto: Pago Arras Santa Cruz De Marcenado 15 - 2b"/>
    <n v="-39250"/>
    <n v="-39250"/>
    <s v="EUR"/>
    <n v="2011.22"/>
    <s v="EUR"/>
    <s v="072"/>
    <m/>
    <m/>
    <m/>
    <m/>
    <s v="Gastos"/>
    <s v="SC de Marcenado"/>
    <x v="0"/>
    <x v="0"/>
  </r>
  <r>
    <d v="2025-11-05T00:00:00"/>
    <s v="Transferencia Inmediata A Favor De Maria Carmen Soler Caturla Concepto Pago Residual Escritura Sc Marcenado 15"/>
    <n v="-763"/>
    <n v="-763"/>
    <s v="EUR"/>
    <n v="191122.87"/>
    <s v="EUR"/>
    <s v="072"/>
    <m/>
    <m/>
    <m/>
    <m/>
    <s v="Gastos"/>
    <s v="SC de Marcenado"/>
    <x v="0"/>
    <x v="1"/>
  </r>
  <r>
    <d v="2025-11-05T00:00:00"/>
    <s v="Emision De Cheque Bancario N.    9961741"/>
    <n v="-344342"/>
    <n v="-344342"/>
    <s v="EUR"/>
    <n v="191885.87"/>
    <s v="EUR"/>
    <s v="086"/>
    <m/>
    <m/>
    <s v="CARMEN SOLER CAT                                  "/>
    <m/>
    <s v="Gastos"/>
    <s v="SC de Marcenado"/>
    <x v="0"/>
    <x v="1"/>
  </r>
  <r>
    <d v="2025-11-05T00:00:00"/>
    <s v="Emision De Cheque Bancario N.    9961740"/>
    <n v="-400018"/>
    <n v="-400018"/>
    <s v="EUR"/>
    <n v="536227.87"/>
    <s v="EUR"/>
    <s v="086"/>
    <m/>
    <m/>
    <s v="CARMEN SOLER CAT                                  "/>
    <m/>
    <s v="Gastos"/>
    <s v="SC de Marcenado"/>
    <x v="0"/>
    <x v="1"/>
  </r>
  <r>
    <d v="2025-11-17T00:00:00"/>
    <s v="Transferencia Inmediata A Favor De Artola Erice,s.l. Concepto Factura Numero 505 Año 2025"/>
    <n v="-2856.5"/>
    <n v="-2856.5"/>
    <s v="EUR"/>
    <n v="112072.99"/>
    <s v="EUR"/>
    <s v="072"/>
    <m/>
    <m/>
    <m/>
    <m/>
    <s v="Gastos"/>
    <s v="SC de Marcenado"/>
    <x v="1"/>
    <x v="2"/>
  </r>
  <r>
    <d v="2025-11-17T00:00:00"/>
    <s v="Transferencia A Favor De Andes Real Estate Investments Concepto: Reembolso Retiro Mobiliario Piso F375 - Rada George Veleriu"/>
    <n v="-545"/>
    <n v="-545"/>
    <s v="EUR"/>
    <n v="114929.49"/>
    <s v="EUR"/>
    <s v="072"/>
    <m/>
    <m/>
    <m/>
    <m/>
    <s v="Gastos"/>
    <s v="SC de Marcenado"/>
    <x v="1"/>
    <x v="2"/>
  </r>
  <r>
    <d v="2025-11-17T00:00:00"/>
    <s v="Transferencia A Favor De Andes Real Estate Investments Concepto: Honorarios Por Servicios De Intermediacion Comercial Santa Cruz Marcenado 15 Y Suplidos"/>
    <n v="-54636"/>
    <n v="-37994"/>
    <s v="EUR"/>
    <n v="115474.49"/>
    <s v="EUR"/>
    <s v="072"/>
    <m/>
    <m/>
    <m/>
    <m/>
    <s v="Gastos"/>
    <s v="SC de Marcenado"/>
    <x v="0"/>
    <x v="3"/>
  </r>
  <r>
    <d v="2025-11-17T00:00:00"/>
    <s v="Transferencia A Favor De Andes Real Estate Investments Concepto: Honorarios Por Servicios De Intermediacion Comercial Santa Cruz Marcenado 15 Y Suplidos"/>
    <m/>
    <n v="-16642"/>
    <m/>
    <n v="115474.49"/>
    <s v="EUR"/>
    <s v="072"/>
    <m/>
    <m/>
    <m/>
    <m/>
    <s v="Gastos"/>
    <s v="SC de Marcenado"/>
    <x v="0"/>
    <x v="4"/>
  </r>
  <r>
    <d v="2025-11-17T00:00:00"/>
    <s v="Transferencia A Favor De Belda Bordon Merodio Abogados S.l.p. Concepto: Compraventa Inmueble Santa Cruz De Marcenado 15"/>
    <n v="-3630"/>
    <n v="-3630"/>
    <s v="EUR"/>
    <n v="170110.49"/>
    <s v="EUR"/>
    <s v="072"/>
    <m/>
    <m/>
    <m/>
    <m/>
    <s v="Gastos"/>
    <s v="SC de Marcenado"/>
    <x v="0"/>
    <x v="5"/>
  </r>
  <r>
    <d v="2025-11-17T00:00:00"/>
    <s v="Transferencia Inmediata A Favor De Gsmart Services Sl. Concepto Solicitud Provisión De Fondos Carta 14/nov/2025"/>
    <n v="-17382.38"/>
    <n v="-15700"/>
    <s v="EUR"/>
    <n v="173740.49"/>
    <s v="EUR"/>
    <s v="072"/>
    <m/>
    <m/>
    <m/>
    <m/>
    <s v="Gastos"/>
    <s v="SC de Marcenado"/>
    <x v="0"/>
    <x v="6"/>
  </r>
  <r>
    <d v="2025-11-17T00:00:00"/>
    <s v="Transferencia Inmediata A Favor De Gsmart Services Sl. Concepto Solicitud Provisión De Fondos Carta 14/nov/2025"/>
    <m/>
    <n v="-186.63"/>
    <s v="EUR"/>
    <n v="173740.49"/>
    <s v="EUR"/>
    <s v="072"/>
    <m/>
    <m/>
    <m/>
    <m/>
    <s v="Gastos"/>
    <s v="SC de Marcenado"/>
    <x v="0"/>
    <x v="7"/>
  </r>
  <r>
    <d v="2025-11-17T00:00:00"/>
    <s v="Transferencia Inmediata A Favor De Gsmart Services Sl. Concepto Solicitud Provisión De Fondos Carta 14/nov/2025"/>
    <m/>
    <n v="-500"/>
    <s v="EUR"/>
    <n v="173740.49"/>
    <s v="EUR"/>
    <s v="072"/>
    <m/>
    <m/>
    <m/>
    <m/>
    <s v="Gastos"/>
    <s v="SC de Marcenado"/>
    <x v="0"/>
    <x v="8"/>
  </r>
  <r>
    <d v="2025-11-17T00:00:00"/>
    <s v="Transferencia Inmediata A Favor De Gsmart Services Sl. Concepto Solicitud Provisión De Fondos Carta 14/nov/2025"/>
    <m/>
    <n v="-332.75"/>
    <s v="EUR"/>
    <n v="173740.49"/>
    <s v="EUR"/>
    <s v="072"/>
    <m/>
    <m/>
    <m/>
    <m/>
    <s v="Gastos"/>
    <s v="SC de Marcenado"/>
    <x v="0"/>
    <x v="9"/>
  </r>
  <r>
    <d v="2025-11-17T00:00:00"/>
    <s v="Transferencia Inmediata A Favor De Gsmart Services Sl. Concepto Solicitud Provisión De Fondos Carta 14/nov/2025"/>
    <m/>
    <n v="-300"/>
    <s v="EUR"/>
    <n v="173740.49"/>
    <s v="EUR"/>
    <s v="072"/>
    <m/>
    <m/>
    <m/>
    <m/>
    <s v="Gastos"/>
    <s v="SC de Marcenado"/>
    <x v="0"/>
    <x v="10"/>
  </r>
  <r>
    <d v="2025-11-17T00:00:00"/>
    <s v="Transferencia Inmediata A Favor De Gsmart Services Sl. Concepto Solicitud Provisión De Fondos Carta 14/nov/2025"/>
    <m/>
    <n v="-363"/>
    <s v="EUR"/>
    <n v="173740.49"/>
    <s v="EUR"/>
    <s v="072"/>
    <m/>
    <m/>
    <m/>
    <m/>
    <s v="Gastos"/>
    <s v="SC de Marcenado"/>
    <x v="0"/>
    <x v="9"/>
  </r>
  <r>
    <d v="2025-11-20T00:00:00"/>
    <s v="Recibo C.p. Santa Cruz De Marcenado 15 Nº Recibo 0049 1836 755 Bbdrhbl Ref. Mandato 00250000120000000007516, De"/>
    <n v="-168.92"/>
    <n v="-168.92"/>
    <s v="EUR"/>
    <n v="192956.7"/>
    <s v="EUR"/>
    <s v="174"/>
    <m/>
    <m/>
    <m/>
    <m/>
    <s v="Gastos"/>
    <s v="SC de Marcenado"/>
    <x v="2"/>
    <x v="11"/>
  </r>
  <r>
    <d v="2025-11-24T00:00:00"/>
    <s v="Transferencia Inmediata A Favor De Artola Erice,s.l. Concepto Factura Numero 522 Año 2025"/>
    <n v="-24784.51"/>
    <n v="-24784.51"/>
    <s v="EUR"/>
    <n v="18172.189999999999"/>
    <s v="EUR"/>
    <s v="072"/>
    <m/>
    <m/>
    <m/>
    <m/>
    <s v="Gastos"/>
    <s v="SC de Marcenado"/>
    <x v="1"/>
    <x v="2"/>
  </r>
  <r>
    <d v="2025-12-02T00:00:00"/>
    <s v="Recibo C.p. Santa Cruz De Marcenado 15 Nº Recibo 0049 1836 755 Bbdrpgz Ref. Mandato 00250000120000000007516, De"/>
    <n v="-164.62"/>
    <n v="-164.62"/>
    <s v="EUR"/>
    <n v="18007.57"/>
    <s v="EUR"/>
    <s v="174"/>
    <m/>
    <m/>
    <m/>
    <m/>
    <s v="Gastos"/>
    <s v="SC de Marcenado"/>
    <x v="2"/>
    <x v="11"/>
  </r>
  <r>
    <d v="2025-12-09T00:00:00"/>
    <s v="Transferencia A Favor De Gsmart Services, S.l. Concepto: Pago F20251161"/>
    <n v="-151.25"/>
    <n v="-75.625"/>
    <s v="EUR"/>
    <n v="16103.8"/>
    <s v="EUR"/>
    <s v="072"/>
    <m/>
    <m/>
    <m/>
    <m/>
    <s v="Gastos"/>
    <s v="SC de Marcenado"/>
    <x v="3"/>
    <x v="12"/>
  </r>
  <r>
    <d v="2025-12-09T00:00:00"/>
    <s v="Transferencia A Favor De Gsmart Services, S.l. Concepto: Pago F20250811"/>
    <n v="-151.25"/>
    <n v="-151.25"/>
    <s v="EUR"/>
    <n v="16255.05"/>
    <s v="EUR"/>
    <s v="072"/>
    <m/>
    <m/>
    <m/>
    <m/>
    <s v="Gastos"/>
    <s v="SC de Marcenado"/>
    <x v="3"/>
    <x v="13"/>
  </r>
  <r>
    <d v="2025-12-09T00:00:00"/>
    <s v="Transferencia A Favor De Gsmart Services, S.l. Concepto: Pago F20250914"/>
    <n v="-1450.02"/>
    <n v="-151.25"/>
    <s v="EUR"/>
    <n v="16406.3"/>
    <s v="EUR"/>
    <s v="072"/>
    <m/>
    <m/>
    <m/>
    <m/>
    <s v="Gastos"/>
    <s v="SC de Marcenado"/>
    <x v="3"/>
    <x v="14"/>
  </r>
  <r>
    <d v="2025-12-09T00:00:00"/>
    <s v="Transferencia A Favor De Gsmart Services, S.l. Concepto: Pago F20250914"/>
    <m/>
    <n v="-1153.57"/>
    <s v="EUR"/>
    <n v="16406.3"/>
    <s v="EUR"/>
    <s v="072"/>
    <m/>
    <m/>
    <m/>
    <m/>
    <s v="Gastos"/>
    <s v="SC de Marcenado"/>
    <x v="0"/>
    <x v="15"/>
  </r>
  <r>
    <d v="2025-12-16T00:00:00"/>
    <s v="Transferencia De Gsmart Services S.l., Concepto Devolución Parcial Fra 20250914."/>
    <n v="444.89"/>
    <n v="444.89"/>
    <s v="EUR"/>
    <n v="16548.689999999999"/>
    <s v="EUR"/>
    <s v="071"/>
    <m/>
    <m/>
    <m/>
    <m/>
    <s v="Gastos"/>
    <s v="SC de Marcenado"/>
    <x v="0"/>
    <x v="15"/>
  </r>
  <r>
    <d v="2025-12-19T00:00:00"/>
    <s v="Recibo Iberdrola Clientes, S.a.u Iberdrola Electricidad 0835358312 Madrid, Cl Santa Cruz De Marcenado 15,2 B Nº Recibo 0049 1836 755 Bbdrvxf Ref. Mandato 272829694000, De"/>
    <n v="-19.78"/>
    <n v="-19.78"/>
    <s v="EUR"/>
    <n v="16528.91"/>
    <s v="EUR"/>
    <s v="174"/>
    <m/>
    <m/>
    <m/>
    <m/>
    <s v="Gastos"/>
    <s v="SC de Marcenado"/>
    <x v="2"/>
    <x v="11"/>
  </r>
  <r>
    <d v="2026-01-02T00:00:00"/>
    <s v="Recibo C.p. Santa Cruz De Marcenado 15 Nº Recibo 0049 1836 755 Bbdsgqx Ref. Mandato 00250000120000000007516, De"/>
    <n v="-250.18"/>
    <n v="-250.18"/>
    <s v="EUR"/>
    <n v="41272.36"/>
    <s v="EUR"/>
    <s v="174"/>
    <m/>
    <m/>
    <m/>
    <m/>
    <s v="Gastos"/>
    <s v="SC de Marcenado"/>
    <x v="2"/>
    <x v="11"/>
  </r>
  <r>
    <d v="2026-01-05T00:00:00"/>
    <s v="Transferencia Inmediata A Favor De Artola Erice,s.l. Concepto Factura Numero 578 Año 2025"/>
    <n v="-26403.62"/>
    <n v="-26403.62"/>
    <s v="EUR"/>
    <n v="14868.74"/>
    <s v="EUR"/>
    <s v="072"/>
    <m/>
    <m/>
    <m/>
    <m/>
    <s v="Gastos"/>
    <s v="SC de Marcenado"/>
    <x v="1"/>
    <x v="2"/>
  </r>
  <r>
    <d v="2026-01-21T00:00:00"/>
    <s v="Recibo Iberdrola Clientes, S.a.u, Concepto: Iberdrola Electricidad 0835358312 Madrid, Cl Santa Cruz De Marcenado 15,2 B"/>
    <n v="-24.9"/>
    <n v="-24.9"/>
    <s v="EUR"/>
    <n v="328297.34000000003"/>
    <s v="EUR"/>
    <s v="174"/>
    <m/>
    <m/>
    <m/>
    <m/>
    <s v="Gastos"/>
    <s v="SC de Marcenado"/>
    <x v="2"/>
    <x v="11"/>
  </r>
  <r>
    <d v="2026-01-25T00:00:00"/>
    <s v="2025retenciones E Ing. A Cta. Ggee."/>
    <n v="-2505.84"/>
    <n v="-2505.84"/>
    <s v="EUR"/>
    <n v="322161.5"/>
    <s v="EUR"/>
    <s v="070"/>
    <s v="6702122046"/>
    <s v="116417223363                                      "/>
    <s v="B21823539                                         "/>
    <m/>
    <s v="Gastos"/>
    <s v="SC de Marcenado"/>
    <x v="2"/>
    <x v="16"/>
  </r>
  <r>
    <d v="2026-01-27T00:00:00"/>
    <s v="Transferencia A Favor De Artola Erice,s.l. Concepto: Factura Numero 037/f2026 - Santa Cruz De Marcenado 15"/>
    <n v="-39803.919999999998"/>
    <n v="-39803.919999999998"/>
    <s v="EUR"/>
    <n v="282177.28000000003"/>
    <s v="EUR"/>
    <s v="072"/>
    <m/>
    <m/>
    <m/>
    <m/>
    <s v="Gastos"/>
    <s v="SC de Marcenado"/>
    <x v="1"/>
    <x v="2"/>
  </r>
  <r>
    <d v="2026-01-27T00:00:00"/>
    <s v="Transferencia A Favor De Maria Carmen Soler Caturla Concepto: Ibi Y Tasa Gestión De Residuos Proporcional 2025 - Sc De Marcenado 15"/>
    <n v="-180.3"/>
    <n v="-180.3"/>
    <s v="EUR"/>
    <n v="321981.2"/>
    <s v="EUR"/>
    <s v="072"/>
    <m/>
    <m/>
    <m/>
    <m/>
    <s v="Gastos"/>
    <s v="SC de Marcenado"/>
    <x v="2"/>
    <x v="17"/>
  </r>
  <r>
    <d v="2026-02-03T00:00:00"/>
    <s v="Recibo C.p. Santa Cruz De Marcenado 15 Nº Recibo 0049 6702 755 Bbgqmyy Ref. Mandato 00250000120000000007516, De"/>
    <n v="-227.69"/>
    <n v="-227.69"/>
    <s v="EUR"/>
    <n v="281454.2"/>
    <s v="EUR"/>
    <s v="174"/>
    <m/>
    <m/>
    <m/>
    <m/>
    <s v="Gastos"/>
    <s v="SC de Marcenado"/>
    <x v="2"/>
    <x v="11"/>
  </r>
  <r>
    <d v="2026-02-09T00:00:00"/>
    <s v="Compra Kave Home, Sils, Tarjeta 4176570175806043 , Comision 0,00"/>
    <n v="-213.96"/>
    <n v="-213.96"/>
    <s v="EUR"/>
    <n v="32944.800000000003"/>
    <s v="EUR"/>
    <s v="136"/>
    <m/>
    <m/>
    <m/>
    <m/>
    <s v="Gastos"/>
    <s v="SC de Marcenado"/>
    <x v="1"/>
    <x v="18"/>
  </r>
  <r>
    <d v="2026-02-11T00:00:00"/>
    <s v="Recibo Santander Generales Seguros Y Reaseguros, Concepto: Prod: Hogar Poliza: 2026/710810016192 Recibo: 2026/500001943631 Emision: 09/02/26 Efecto: 06/02/26 Venc: 06/02/27 Registr"/>
    <n v="-613.16999999999996"/>
    <n v="-613.16999999999996"/>
    <s v="EUR"/>
    <n v="36033.94"/>
    <s v="EUR"/>
    <s v="174"/>
    <m/>
    <m/>
    <m/>
    <m/>
    <s v="Gastos"/>
    <s v="SC de Marcenado"/>
    <x v="2"/>
    <x v="19"/>
  </r>
  <r>
    <d v="2026-02-18T00:00:00"/>
    <s v="Recibo Gsmart Services S.l., Concepto: 20260225"/>
    <n v="-272.25"/>
    <n v="-136.125"/>
    <s v="EUR"/>
    <n v="32482.68"/>
    <s v="EUR"/>
    <n v="174"/>
    <m/>
    <m/>
    <m/>
    <m/>
    <s v="Gastos"/>
    <s v="SC de Marcenado"/>
    <x v="3"/>
    <x v="20"/>
  </r>
  <r>
    <d v="2026-02-18T00:00:00"/>
    <s v="Recibo Gsmart Services S.l., Concepto: 20260107"/>
    <n v="-151.25"/>
    <n v="-75.625"/>
    <s v="EUR"/>
    <n v="32754.93"/>
    <s v="EUR"/>
    <s v="174"/>
    <m/>
    <m/>
    <m/>
    <m/>
    <s v="Gastos"/>
    <s v="SC de Marcenado"/>
    <x v="3"/>
    <x v="21"/>
  </r>
  <r>
    <d v="2026-02-18T00:00:00"/>
    <s v="Recibo Iberdrola Clientes, S.a.u, Concepto: Iberdrola Electricidad 0835358312 Madrid, Cl Santa Cruz De Marcenado 15,2 B"/>
    <n v="-28.27"/>
    <n v="-28.27"/>
    <s v="EUR"/>
    <n v="32906.18"/>
    <s v="EUR"/>
    <s v="174"/>
    <m/>
    <m/>
    <m/>
    <m/>
    <s v="Gastos"/>
    <s v="SC de Marcenado"/>
    <x v="2"/>
    <x v="11"/>
  </r>
  <r>
    <d v="2026-02-24T00:00:00"/>
    <s v="Compra Sklum, Villalonga, Tarjeta 4176570175806043 , Comision 0,00"/>
    <n v="-1544.14"/>
    <n v="-1544.14"/>
    <s v="EUR"/>
    <n v="37594.050000000003"/>
    <s v="EUR"/>
    <s v="136"/>
    <m/>
    <m/>
    <m/>
    <m/>
    <s v="Gastos"/>
    <s v="SC de Marcenado"/>
    <x v="1"/>
    <x v="18"/>
  </r>
  <r>
    <d v="2026-02-24T00:00:00"/>
    <s v="Compra Internet En El Corte Ingles, Madrid Es, Tarj. :*806043"/>
    <n v="-1064.8"/>
    <n v="-1064.8"/>
    <s v="EUR"/>
    <n v="63745.74"/>
    <s v="EUR"/>
    <s v="136"/>
    <m/>
    <m/>
    <m/>
    <m/>
    <s v="Gastos"/>
    <s v="SC de Marcenado"/>
    <x v="1"/>
    <x v="18"/>
  </r>
  <r>
    <d v="2026-02-24T00:00:00"/>
    <s v="Compra Internet En El Corte Ingles, Madrid Es, Tarj. :*806043"/>
    <n v="-1222.5"/>
    <n v="-1222.5"/>
    <s v="EUR"/>
    <n v="64810.54"/>
    <s v="EUR"/>
    <s v="136"/>
    <m/>
    <m/>
    <m/>
    <m/>
    <s v="Gastos"/>
    <s v="SC de Marcenado"/>
    <x v="1"/>
    <x v="18"/>
  </r>
  <r>
    <d v="2026-02-24T00:00:00"/>
    <s v="Compra Internet En Topdormitorios, Pozuelo De Caes, Tarj. :*806043"/>
    <n v="-944.2"/>
    <n v="-944.2"/>
    <s v="EUR"/>
    <n v="66033.039999999994"/>
    <s v="EUR"/>
    <s v="136"/>
    <m/>
    <m/>
    <m/>
    <m/>
    <s v="Gastos"/>
    <s v="SC de Marcenado"/>
    <x v="1"/>
    <x v="18"/>
  </r>
  <r>
    <d v="2026-02-25T00:00:00"/>
    <s v="Compra Sklum, Villalonga, Tarjeta 4176570175806043 , Comision 0,00"/>
    <n v="-24607.55"/>
    <n v="-24607.55"/>
    <s v="EUR"/>
    <n v="39138.19"/>
    <s v="EUR"/>
    <s v="072"/>
    <m/>
    <m/>
    <m/>
    <m/>
    <s v="Gastos"/>
    <s v="SC de Marcenado"/>
    <x v="1"/>
    <x v="2"/>
  </r>
  <r>
    <d v="2026-02-26T00:00:00"/>
    <s v="Compra Sp Westwing, Munchen, Tarjeta 4176570175806043 , Comision 0,00"/>
    <n v="-242.99"/>
    <n v="-242.99"/>
    <s v="EUR"/>
    <n v="33272.54"/>
    <s v="EUR"/>
    <s v="136"/>
    <m/>
    <m/>
    <m/>
    <m/>
    <s v="Gastos"/>
    <s v="SC de Marcenado"/>
    <x v="1"/>
    <x v="18"/>
  </r>
  <r>
    <d v="2026-02-27T00:00:00"/>
    <s v="Compra Sp Astroclaro, Central, Tarjeta 4176570175806043 , Comision 0,00"/>
    <n v="-372.95"/>
    <n v="-372.95"/>
    <s v="EUR"/>
    <n v="33515.53"/>
    <s v="EUR"/>
    <s v="136"/>
    <m/>
    <m/>
    <m/>
    <m/>
    <s v="Gastos"/>
    <s v="SC de Marcenado"/>
    <x v="1"/>
    <x v="18"/>
  </r>
  <r>
    <d v="2026-02-27T00:00:00"/>
    <s v="Compra Kave Home, Sils, Tarjeta 4176570175806043 , Comision 0,00"/>
    <n v="-715.99"/>
    <n v="-715.99"/>
    <s v="EUR"/>
    <n v="33888.480000000003"/>
    <s v="EUR"/>
    <s v="136"/>
    <m/>
    <m/>
    <m/>
    <m/>
    <s v="Gastos"/>
    <s v="SC de Marcenado"/>
    <x v="1"/>
    <x v="18"/>
  </r>
  <r>
    <d v="2026-02-27T00:00:00"/>
    <s v="Compra Sklum, Villalonga, Tarjeta 4176570175806043 , Comision 0,00"/>
    <n v="-1189.58"/>
    <n v="-1189.58"/>
    <s v="EUR"/>
    <n v="34604.47"/>
    <s v="EUR"/>
    <s v="136"/>
    <m/>
    <m/>
    <m/>
    <m/>
    <s v="Gastos"/>
    <s v="SC de Marcenado"/>
    <x v="1"/>
    <x v="18"/>
  </r>
  <r>
    <d v="2026-02-27T00:00:00"/>
    <s v="Compra Internet En El Corte Ingles, Madrid Es, Tarj. :*806043"/>
    <n v="-1800"/>
    <n v="-1800"/>
    <s v="EUR"/>
    <n v="35794.050000000003"/>
    <s v="EUR"/>
    <s v="136"/>
    <m/>
    <m/>
    <m/>
    <m/>
    <s v="Gastos"/>
    <s v="SC de Marcenado"/>
    <x v="1"/>
    <x v="18"/>
  </r>
  <r>
    <d v="2026-03-03T00:00:00"/>
    <s v="Recibo C.p. Santa Cruz De Marcenado 15 Nº Recibo 0049 6702 755 Bbgstbv Ref. Mandato 00250000120000000007516, De"/>
    <n v="-256.89"/>
    <n v="-256.89"/>
    <s v="EUR"/>
    <n v="33015.65"/>
    <s v="EUR"/>
    <s v="174"/>
    <m/>
    <m/>
    <m/>
    <m/>
    <s v="Gastos"/>
    <s v="SC de Marcenado"/>
    <x v="2"/>
    <x v="11"/>
  </r>
  <r>
    <d v="2026-03-09T00:00:00"/>
    <s v="Devolucion Compra En El Corte Ingles, Madrid Es, Tarj. :*806043"/>
    <n v="29.9"/>
    <n v="29.9"/>
    <s v="EUR"/>
    <n v="232350.89"/>
    <s v="EUR"/>
    <s v="001"/>
    <m/>
    <m/>
    <m/>
    <m/>
    <s v="Gastos"/>
    <s v="SC de Marcenado"/>
    <x v="1"/>
    <x v="18"/>
  </r>
  <r>
    <d v="2026-03-13T00:00:00"/>
    <s v="Transferencia Inmediata A Favor De Maria Del Pilar Bores Otero Concepto Pedido Javiera Díaz - Proyecto Santa Cruz De Marcenado - Mobiliario"/>
    <n v="-369.38"/>
    <n v="-369.38"/>
    <s v="EUR"/>
    <n v="121978.5"/>
    <s v="EUR"/>
    <s v="072"/>
    <m/>
    <m/>
    <m/>
    <m/>
    <s v="Gastos"/>
    <s v="SC de Marcenado"/>
    <x v="1"/>
    <x v="18"/>
  </r>
  <r>
    <d v="2026-03-18T00:00:00"/>
    <s v="Recibo Gsmart Services S.l., Concepto: 20260351"/>
    <n v="-272.25"/>
    <n v="-90.75"/>
    <s v="EUR"/>
    <n v="121644.98"/>
    <s v="EUR"/>
    <s v="174"/>
    <m/>
    <m/>
    <m/>
    <m/>
    <s v="Gastos"/>
    <s v="SC de Marcenado"/>
    <x v="3"/>
    <x v="22"/>
  </r>
  <r>
    <d v="2026-03-18T00:00:00"/>
    <s v="Recibo Iberdrola Clientes, S.a.u, Concepto: Iberdrola Electricidad 0835358312 Madrid, Cl Santa Cruz De Marcenado 15,2 B"/>
    <n v="-32.07"/>
    <n v="-32.07"/>
    <s v="EUR"/>
    <n v="121917.23"/>
    <s v="EUR"/>
    <s v="174"/>
    <m/>
    <m/>
    <m/>
    <m/>
    <s v="Gastos"/>
    <s v="SC de Marcenado"/>
    <x v="2"/>
    <x v="11"/>
  </r>
  <r>
    <d v="2026-03-19T00:00:00"/>
    <s v="Compra Zarahome.com, La Coruna, Tarjeta 4176570175806043 , Comision 0,00"/>
    <n v="-2446.61"/>
    <n v="-2446.61"/>
    <s v="EUR"/>
    <n v="1112438.22"/>
    <s v="EUR"/>
    <s v="136"/>
    <m/>
    <m/>
    <m/>
    <m/>
    <s v="Gastos"/>
    <s v="SC de Marcenado"/>
    <x v="1"/>
    <x v="18"/>
  </r>
  <r>
    <d v="2026-03-19T00:00:00"/>
    <s v="Compra Efectoled, Alqueria De L, Tarjeta 4176570175806043 , Comision 0,00"/>
    <n v="-107.81"/>
    <n v="-107.81"/>
    <s v="EUR"/>
    <n v="167620.62"/>
    <s v="EUR"/>
    <s v="136"/>
    <m/>
    <m/>
    <m/>
    <m/>
    <s v="Gastos"/>
    <s v="SC de Marcenado"/>
    <x v="1"/>
    <x v="18"/>
  </r>
  <r>
    <d v="2026-03-19T00:00:00"/>
    <s v="Compra Kave Home, Sils, Tarjeta 4176570175806043 , Comision 0,00"/>
    <n v="-534.24"/>
    <n v="-534.24"/>
    <s v="EUR"/>
    <n v="167728.43"/>
    <s v="EUR"/>
    <s v="136"/>
    <m/>
    <m/>
    <m/>
    <m/>
    <s v="Gastos"/>
    <s v="SC de Marcenado"/>
    <x v="1"/>
    <x v="18"/>
  </r>
  <r>
    <d v="2026-03-19T00:00:00"/>
    <s v="Compra Sp Wall Of Art, Stockholm, Tarjeta 4176570175806043 , Comision 0,00"/>
    <n v="-605"/>
    <n v="-605"/>
    <s v="EUR"/>
    <n v="168262.67"/>
    <s v="EUR"/>
    <s v="136"/>
    <m/>
    <m/>
    <m/>
    <m/>
    <s v="Gastos"/>
    <s v="SC de Marcenado"/>
    <x v="1"/>
    <x v="18"/>
  </r>
  <r>
    <d v="2026-03-19T00:00:00"/>
    <s v="Compra Themasie, Llocnou De Sa, Tarjeta 4176570175806043 , Comision 0,00"/>
    <n v="-650.38"/>
    <n v="-650.38"/>
    <s v="EUR"/>
    <n v="168867.67"/>
    <s v="EUR"/>
    <s v="136"/>
    <m/>
    <m/>
    <m/>
    <m/>
    <s v="Gastos"/>
    <s v="SC de Marcenado"/>
    <x v="1"/>
    <x v="18"/>
  </r>
  <r>
    <d v="2026-03-23T00:00:00"/>
    <s v="Compra Leroy Merlin Es, Ronchin, Tarjeta 4176570175806043 , Comision 0,00"/>
    <n v="-314"/>
    <n v="-314"/>
    <s v="EUR"/>
    <n v="1112124.22"/>
    <s v="EUR"/>
    <s v="136"/>
    <m/>
    <m/>
    <m/>
    <m/>
    <s v="Gastos"/>
    <s v="SC de Marcenado"/>
    <x v="1"/>
    <x v="18"/>
  </r>
  <r>
    <d v="2026-03-23T00:00:00"/>
    <s v="Transferencia Inmediata A Favor De Hijas - Nuñez Ar Concepto D/ 00023. Pignoracion Poliza Por Tarjeta De Credito"/>
    <m/>
    <n v="-116.6033333333333"/>
    <s v="EUR"/>
    <n v="169567.85"/>
    <s v="EUR"/>
    <s v="072"/>
    <m/>
    <m/>
    <m/>
    <m/>
    <s v="Gastos"/>
    <s v="SC de Marcenado"/>
    <x v="3"/>
    <x v="23"/>
  </r>
  <r>
    <d v="2026-03-24T00:00:00"/>
    <s v="Transferencia A Favor De Artola Erice,s.l. Concepto: Sc De Marcenado - 5ta Certificación 09 De Marzo - Factura F2026/127"/>
    <n v="-31497.439999999999"/>
    <n v="-31497.439999999999"/>
    <s v="EUR"/>
    <n v="159666.01"/>
    <s v="EUR"/>
    <s v="072"/>
    <m/>
    <m/>
    <m/>
    <m/>
    <s v="Gastos"/>
    <s v="SC de Marcenado"/>
    <x v="1"/>
    <x v="2"/>
  </r>
  <r>
    <d v="2026-03-26T00:00:00"/>
    <s v="Compra Zarahome.com, La Coruna, Tarjeta 4176570175806043 , Comision 0,00"/>
    <n v="-543.76"/>
    <n v="-543.76"/>
    <s v="EUR"/>
    <n v="1164094.57"/>
    <s v="EUR"/>
    <s v="136"/>
    <m/>
    <m/>
    <m/>
    <m/>
    <s v="Gastos"/>
    <s v="SC de Marcenado"/>
    <x v="1"/>
    <x v="18"/>
  </r>
  <r>
    <d v="2026-03-27T00:00:00"/>
    <s v="Emisión de Cheque y revocación por compra fallida de Arapiles"/>
    <m/>
    <n v="-44.356666666666662"/>
    <s v="EUR"/>
    <n v="1164885.8899999999"/>
    <s v="EUR"/>
    <s v="085"/>
    <m/>
    <m/>
    <m/>
    <m/>
    <s v="Gastos"/>
    <s v="SC de Marcenado"/>
    <x v="3"/>
    <x v="24"/>
  </r>
  <r>
    <d v="2026-04-01T00:00:00"/>
    <s v="Recibo C.p. Santa Cruz De Marcenado 15 Nº Recibo 0049 6702 755 Bbgwbkh Ref. Mandato 00250000120000000007516, De"/>
    <n v="-247.56"/>
    <n v="-247.56"/>
    <s v="EUR"/>
    <n v="1164638.33"/>
    <s v="EUR"/>
    <s v="174"/>
    <m/>
    <m/>
    <m/>
    <m/>
    <s v="Gastos"/>
    <s v="SC de Marcenado"/>
    <x v="2"/>
    <x v="11"/>
  </r>
  <r>
    <d v="2026-04-07T00:00:00"/>
    <s v="Transferencia A Favor De Rada George Valeriu Concepto: Transporte Realizado Proyecto Santa Cruz De Marcenado 15"/>
    <n v="-840"/>
    <n v="-840"/>
    <s v="EUR"/>
    <n v="1162850.0900000001"/>
    <s v="EUR"/>
    <s v="072"/>
    <m/>
    <m/>
    <m/>
    <m/>
    <s v="Gastos"/>
    <s v="SC de Marcenado"/>
    <x v="1"/>
    <x v="2"/>
  </r>
  <r>
    <d v="2026-04-20T00:00:00"/>
    <s v="Recibo Iberdrola Clientes, S.a.u, Concepto: Iberdrola Electricidad 0835358312 Madrid, Cl Santa Cruz De Marcenado 15,2 B"/>
    <n v="-36.01"/>
    <n v="-36.01"/>
    <s v="EUR"/>
    <n v="62640.43"/>
    <s v="EUR"/>
    <s v="174"/>
    <m/>
    <m/>
    <m/>
    <m/>
    <s v="Gastos"/>
    <s v="SC de Marcenado"/>
    <x v="2"/>
    <x v="11"/>
  </r>
  <r>
    <d v="2026-04-21T00:00:00"/>
    <s v="Transferencia Inmediata A Favor De Arismel Pg Concepto Factura 0-281 - Limpieza - Proyecto Santa Cruz De Marcenado 15"/>
    <n v="-77.040000000000006"/>
    <n v="-77.040000000000006"/>
    <s v="EUR"/>
    <n v="17117.46"/>
    <s v="EUR"/>
    <s v="072"/>
    <m/>
    <m/>
    <m/>
    <m/>
    <s v="Gastos"/>
    <s v="SC de Marcenado"/>
    <x v="1"/>
    <x v="18"/>
  </r>
  <r>
    <d v="2026-04-30T00:00:00"/>
    <s v="Transferencia Inmediata A Favor De Javiera Mabel Díaz Moya Concepto Reembolso Compra Mobiliario - Zara Home - Sc Marcenado"/>
    <n v="-49.99"/>
    <n v="-49.99"/>
    <s v="EUR"/>
    <n v="65966.91"/>
    <s v="EUR"/>
    <s v="072"/>
    <m/>
    <m/>
    <m/>
    <m/>
    <s v="Gastos"/>
    <s v="SC de Marcenado"/>
    <x v="1"/>
    <x v="18"/>
  </r>
  <r>
    <d v="2026-05-04T00:00:00"/>
    <s v="Recibo Gsmart Services S.l., Concepto: 20260482"/>
    <m/>
    <n v="-110.75"/>
    <s v="EUR"/>
    <n v="62648.61"/>
    <s v="EUR"/>
    <n v="174"/>
    <m/>
    <m/>
    <m/>
    <m/>
    <s v="Gastos"/>
    <s v="SC de Marcenado"/>
    <x v="3"/>
    <x v="25"/>
  </r>
  <r>
    <d v="2026-05-04T00:00:00"/>
    <s v="Liquidacion De Las Tarjetas De Credito Del Contrato 0049 6702 501 2413282"/>
    <n v="-2731.39"/>
    <n v="-58"/>
    <s v="EUR"/>
    <n v="63235.519999999997"/>
    <s v="EUR"/>
    <s v="002"/>
    <m/>
    <m/>
    <s v="0049670250124132                                  "/>
    <m/>
    <s v="Gastos"/>
    <s v="SC de Marcenado"/>
    <x v="1"/>
    <x v="18"/>
  </r>
  <r>
    <d v="2026-05-05T00:00:00"/>
    <s v="Recibo C.p. Santa Cruz De Marcenado 15 Nº Recibo 0049 6702 755 Bbgyrfb Ref. Mandato 00250000120000000007516, De"/>
    <n v="-269.92"/>
    <n v="-269.92"/>
    <s v="EUR"/>
    <n v="62228.54"/>
    <s v="EUR"/>
    <s v="174"/>
    <m/>
    <m/>
    <m/>
    <m/>
    <s v="Gastos"/>
    <s v="SC de Marcenado"/>
    <x v="2"/>
    <x v="11"/>
  </r>
  <r>
    <d v="2026-05-20T00:00:00"/>
    <s v="Recibo Iberdrola Clientes, S.a.u, Concepto: Iberdrola Electricidad 0835358312 Madrid, Cl Santa Cruz De Marcenado 15,2 B"/>
    <n v="-25.85"/>
    <n v="-25.85"/>
    <s v="EUR"/>
    <n v="61043.44"/>
    <s v="EUR"/>
    <s v="174"/>
    <m/>
    <m/>
    <m/>
    <m/>
    <s v="Gastos"/>
    <s v="SC de Marcenado"/>
    <x v="2"/>
    <x v="11"/>
  </r>
  <r>
    <d v="2026-05-22T00:00:00"/>
    <s v="Transferencia Inmediata A Favor De Artola Erice,s.l. Concepto F2026/236 - Certificación Cierre De Obra (100% + Extras) - Santa Cruz De Marcenado 15"/>
    <n v="-21327.53"/>
    <n v="-21327.53"/>
    <s v="EUR"/>
    <n v="39715.910000000003"/>
    <s v="EUR"/>
    <s v="072"/>
    <m/>
    <m/>
    <m/>
    <m/>
    <s v="Gastos"/>
    <s v="SC de Marcenado"/>
    <x v="1"/>
    <x v="2"/>
  </r>
  <r>
    <d v="2026-06-01T00:00:00"/>
    <s v="Recibo C.p. Santa Cruz De Marcenado 15 Nº Recibo 0049 6702 755 Bbhbtvv Ref. Mandato 00250000120000000007516, De"/>
    <n v="-164.62"/>
    <n v="-164.62"/>
    <s v="EUR"/>
    <n v="49742.92"/>
    <s v="EUR"/>
    <s v="174"/>
    <m/>
    <m/>
    <m/>
    <m/>
    <s v="Gastos"/>
    <s v="SC de Marcenado"/>
    <x v="2"/>
    <x v="11"/>
  </r>
  <r>
    <d v="2026-06-12T00:00:00"/>
    <s v="Recibo Gsmart Services S.l., Concepto: 20260625"/>
    <m/>
    <n v="-90.75"/>
    <s v="EUR"/>
    <n v="206373.34"/>
    <s v="EUR"/>
    <n v="174"/>
    <m/>
    <m/>
    <m/>
    <m/>
    <s v="Gastos"/>
    <s v="SC de Marcenado"/>
    <x v="3"/>
    <x v="26"/>
  </r>
  <r>
    <d v="2026-06-15T00:00:00"/>
    <s v="Transferencia Inmediata A Favor De Arismel Perez Gonzalez Concepto 0-295 - Limpieza - Proyecto Santa Cruz De Marcenado"/>
    <n v="-58.08"/>
    <n v="-58.08"/>
    <s v="EUR"/>
    <n v="224861.74"/>
    <s v="EUR"/>
    <s v="072"/>
    <m/>
    <m/>
    <m/>
    <m/>
    <s v="Gastos"/>
    <s v="SC de Marcenado"/>
    <x v="1"/>
    <x v="2"/>
  </r>
  <r>
    <d v="2026-06-18T00:00:00"/>
    <s v="Recibo Iberdrola Clientes, S.a.u, Concepto: Iberdrola Electricidad 0835358312 Madrid, Cl Santa Cruz De Marcenado 15,2 B"/>
    <n v="-27.79"/>
    <n v="-27.79"/>
    <s v="EUR"/>
    <n v="423543.19"/>
    <s v="EUR"/>
    <s v="174"/>
    <m/>
    <m/>
    <m/>
    <m/>
    <s v="Gastos"/>
    <s v="SC de Marcenado"/>
    <x v="2"/>
    <x v="11"/>
  </r>
  <r>
    <d v="2026-06-22T00:00:00"/>
    <s v="Recibo Gsmart Services S.l., Concepto: 20260771 2026-06-22 0"/>
    <m/>
    <n v="-90.75"/>
    <s v="EUR"/>
    <n v="423270.94"/>
    <s v="EUR"/>
    <n v="174"/>
    <m/>
    <m/>
    <m/>
    <m/>
    <s v="Gastos"/>
    <s v="SC de Marcenado"/>
    <x v="3"/>
    <x v="27"/>
  </r>
  <r>
    <d v="2026-07-01T00:00:00"/>
    <s v="Recibo C.p. Santa Cruz De Marcenado 15 Nº Recibo 0049 6702 755 Bbhfcsd Ref. Mandato 00250000120000000007516, De"/>
    <n v="-254.27"/>
    <n v="-254.27"/>
    <s v="EUR"/>
    <n v="1303999.53"/>
    <s v="EUR"/>
    <s v="174"/>
    <m/>
    <m/>
    <m/>
    <m/>
    <s v="Gastos"/>
    <s v="SC de Marcenado"/>
    <x v="3"/>
    <x v="11"/>
  </r>
  <r>
    <d v="2026-07-07T00:00:00"/>
    <s v="Recibo Gsmart Services S.l., Concepto: 20260960 2026-07-07 0"/>
    <m/>
    <n v="-85.5625"/>
    <s v="EUR"/>
    <n v="1299629.21"/>
    <s v="EUR"/>
    <n v="174"/>
    <m/>
    <m/>
    <m/>
    <m/>
    <s v="Gastos"/>
    <s v="SC de Marcenado"/>
    <x v="3"/>
    <x v="28"/>
  </r>
  <r>
    <d v="2026-07-17T00:00:00"/>
    <s v="Transferencia De Hencorp Becstone Capital Lc 777 Brickell Av, Referencia: 0049 6702 696 0355732 Concepto /uri/ricardo Mora Payment"/>
    <n v="176292"/>
    <n v="176292"/>
    <s v="EUR"/>
    <n v="409506.65"/>
    <s v="EUR"/>
    <s v="119"/>
    <m/>
    <s v="6702-0355732                                      "/>
    <s v="39432000001496                                    "/>
    <m/>
    <s v="Desinversion"/>
    <s v="SC de Marcenado"/>
    <x v="4"/>
    <x v="0"/>
  </r>
  <r>
    <d v="2026-07-20T00:00:00"/>
    <s v="Recibo Iberdrola Clientes, S.a.u, Concepto: Iberdrola Electricidad 0835358312 Madrid, Cl Santa Cruz De Marcenado 15,2 B"/>
    <n v="-29.67"/>
    <n v="-29.67"/>
    <s v="EUR"/>
    <n v="1353976.98"/>
    <s v="EUR"/>
    <s v="174"/>
    <m/>
    <m/>
    <m/>
    <m/>
    <s v="Gastos"/>
    <s v="SC de Marcenado"/>
    <x v="3"/>
    <x v="11"/>
  </r>
  <r>
    <d v="2026-07-24T00:00:00"/>
    <s v="Transferencia Inmediata De Ventis Real Estate Properties Sl, Concepto Devoluci.n Reserva Santa Cruz De Marcenado"/>
    <n v="3000"/>
    <n v="3000"/>
    <s v="EUR"/>
    <n v="1116584.74"/>
    <s v="EUR"/>
    <s v="071"/>
    <m/>
    <m/>
    <m/>
    <m/>
    <s v="Desinversion"/>
    <s v="SC de Marcenado"/>
    <x v="5"/>
    <x v="29"/>
  </r>
  <r>
    <d v="2026-07-24T00:00:00"/>
    <s v="Transferencia Inmediata A Favor De Ventis Real Estate Properties S.l. Concepto 50% Honorario Intermediacion Comercial - Proyecto Sc Marcenado"/>
    <n v="-21780"/>
    <n v="-21780"/>
    <s v="EUR"/>
    <n v="1179378.49"/>
    <s v="EUR"/>
    <s v="072"/>
    <m/>
    <m/>
    <m/>
    <m/>
    <s v="Desinversion"/>
    <s v="SC de Marcenado"/>
    <x v="5"/>
    <x v="29"/>
  </r>
  <r>
    <d v="2026-08-07T00:00:00"/>
    <s v="Recibo C.p. Santa Cruz De Marcenado 15 Nº Recibo 0049 6702 755 Bbhjknn Ref. Mandato 00250000120000000007516, De"/>
    <n v="-164.62"/>
    <n v="-164.62"/>
    <s v="EUR"/>
    <n v="1054132"/>
    <s v="EUR"/>
    <s v="174"/>
    <m/>
    <m/>
    <m/>
    <m/>
    <s v="Gastos"/>
    <s v="SC de Marcenado"/>
    <x v="3"/>
    <x v="11"/>
  </r>
  <r>
    <d v="2026-08-14T00:00:00"/>
    <s v="Transferencia De Ricardo Francisco Mora Granada, Concepto Complemento Arras."/>
    <n v="67.37"/>
    <n v="67.37"/>
    <s v="EUR"/>
    <n v="2074009.5"/>
    <s v="EUR"/>
    <s v="071"/>
    <m/>
    <m/>
    <m/>
    <m/>
    <s v="Desinversion"/>
    <s v="SC de Marcenado"/>
    <x v="4"/>
    <x v="30"/>
  </r>
  <r>
    <d v="2026-08-14T00:00:00"/>
    <s v="Transferencia De Ricardo Francisco Mora Granada Calle El Talapo, Referencia: 0049 6702 696 0357732"/>
    <n v="1019994"/>
    <n v="1019994"/>
    <s v="EUR"/>
    <n v="2073942.13"/>
    <s v="EUR"/>
    <s v="119"/>
    <m/>
    <s v="6702-0357732                                      "/>
    <s v="ES59208012502130                                  "/>
    <m/>
    <s v="Desinversion"/>
    <s v="SC de Marcenado"/>
    <x v="4"/>
    <x v="30"/>
  </r>
  <r>
    <d v="2026-08-18T00:00:00"/>
    <s v="Transferencia Inmediata A Favor De Ventis Real Estate Properties S.l. Concepto 50% Honorario Intermediacion Comercial - Proyecto Sc Marcenado (2/2)"/>
    <n v="-21780"/>
    <n v="-21780"/>
    <s v="EUR"/>
    <n v="2052229.5"/>
    <s v="EUR"/>
    <s v="072"/>
    <m/>
    <m/>
    <m/>
    <m/>
    <s v="Desinversion"/>
    <s v="SC de Marcenado"/>
    <x v="5"/>
    <x v="29"/>
  </r>
  <r>
    <d v="2026-08-20T00:00:00"/>
    <s v="Recibo Iberdrola Clientes, S.a.u, Concepto: Iberdrola Electricidad 0835358312 Madrid, Cl Santa Cruz De Marcenado 15,2 B"/>
    <n v="-33.659999999999997"/>
    <n v="-33.659999999999997"/>
    <s v="EUR"/>
    <n v="199447.12"/>
    <s v="EUR"/>
    <s v="174"/>
    <m/>
    <m/>
    <m/>
    <m/>
    <s v="Gastos"/>
    <s v="SC de Marcenado"/>
    <x v="3"/>
    <x v="11"/>
  </r>
  <r>
    <d v="2026-09-03T00:00:00"/>
    <s v="Transferencia Inmediata A Favor De Gsmart Services, S.l. Concepto Plusvalía Santa Cruz De Marcenado"/>
    <n v="-6214.23"/>
    <n v="-6214.23"/>
    <s v="EUR"/>
    <n v="190022.93"/>
    <s v="EUR"/>
    <s v="072"/>
    <m/>
    <m/>
    <m/>
    <m/>
    <s v="Desinversion"/>
    <s v="SC de Marcenado"/>
    <x v="5"/>
    <x v="6"/>
  </r>
  <r>
    <d v="2026-09-07T00:00:00"/>
    <s v="Transferencia Inmediata A Favor De Arismel Pg Concepto Limpieza Final - Santa Cruz De Marcenado"/>
    <n v="-58.08"/>
    <n v="-58.08"/>
    <s v="EUR"/>
    <n v="186268.3"/>
    <s v="EUR"/>
    <s v="072"/>
    <m/>
    <m/>
    <m/>
    <m/>
    <s v="Desinversion"/>
    <s v="SC de Marcenado"/>
    <x v="4"/>
    <x v="31"/>
  </r>
  <r>
    <d v="2026-09-07T00:00:00"/>
    <s v="Transferencia A Favor De Andes Real Estate Investments, S.l. Concepto: Reembolso Cert Deuda Comunidad- Proyecto Sc Marcenado"/>
    <n v="-66.55"/>
    <n v="-66.55"/>
    <s v="EUR"/>
    <n v="186326.38"/>
    <s v="EUR"/>
    <s v="072"/>
    <m/>
    <m/>
    <m/>
    <m/>
    <s v="Gastos"/>
    <s v="SC de Marcenado"/>
    <x v="3"/>
    <x v="11"/>
  </r>
  <r>
    <d v="2026-09-07T00:00:00"/>
    <s v="Transferencia A Favor De Belda Bordón Merodio Abogados, S.l.p Concepto: Asesoramiento Jurídico - Venta Propiedad - Proyecto Sc De Marcenado"/>
    <n v="-3630"/>
    <n v="-3630"/>
    <s v="EUR"/>
    <n v="186392.93"/>
    <s v="EUR"/>
    <s v="072"/>
    <m/>
    <m/>
    <m/>
    <m/>
    <s v="Desinversion"/>
    <s v="SC de Marcenado"/>
    <x v="5"/>
    <x v="32"/>
  </r>
  <r>
    <d v="2026-10-05T00:00:00"/>
    <s v="Transferencia A Favor De Jair Tzvi Konitzki Sobocki Concepto: Reembolso Pago De Residuos Sc De Marcenado - Jair Konitzki"/>
    <n v="-182.79"/>
    <n v="-182.79"/>
    <s v="EUR"/>
    <n v="157632.9"/>
    <s v="EUR"/>
    <s v="072"/>
    <m/>
    <m/>
    <m/>
    <m/>
    <s v="Gastos"/>
    <s v="SC de Marcenado"/>
    <x v="2"/>
    <x v="33"/>
  </r>
  <r>
    <d v="2026-10-05T00:00:00"/>
    <s v="Transferencia A Favor De Jair Tzvi Konitzki Sobocki Concepto: Reembolso Ibi Sc De Marcenado - Pagado Por Jair Konitzki"/>
    <n v="-897.87"/>
    <n v="-897.87"/>
    <s v="EUR"/>
    <n v="157815.69"/>
    <s v="EUR"/>
    <s v="072"/>
    <m/>
    <m/>
    <m/>
    <m/>
    <s v="Gastos"/>
    <s v="SC de Marcenado"/>
    <x v="2"/>
    <x v="34"/>
  </r>
  <r>
    <d v="2026-10-09T00:00:00"/>
    <s v="Transferencia Inmediata De Ricardo Francisco Mora Granada, Concepto Reembolso De Ibi Y Tgr Sc Marcenado"/>
    <n v="414.5"/>
    <n v="414.5"/>
    <s v="EUR"/>
    <n v="153891.78"/>
    <s v="EUR"/>
    <s v="071"/>
    <m/>
    <m/>
    <m/>
    <m/>
    <s v="Gastos"/>
    <s v="SC de Marcenado"/>
    <x v="2"/>
    <x v="35"/>
  </r>
  <r>
    <d v="2026-10-09T00:00:00"/>
    <s v="Transferencia Inmediata De Ricardo Francisco Mora Granada, Concepto Pendiente Compraventa Sc Marcenado"/>
    <n v="265.5"/>
    <n v="265.5"/>
    <s v="EUR"/>
    <n v="153477.28"/>
    <s v="EUR"/>
    <s v="071"/>
    <m/>
    <m/>
    <m/>
    <m/>
    <s v="Desinversion"/>
    <s v="SC de Marcenado"/>
    <x v="4"/>
    <x v="30"/>
  </r>
  <r>
    <d v="2026-10-09T00:00:00"/>
    <s v="comision banco arras a reembolsar"/>
    <n v="442.5"/>
    <n v="442.5"/>
    <m/>
    <m/>
    <m/>
    <m/>
    <m/>
    <m/>
    <m/>
    <m/>
    <m/>
    <m/>
    <x v="6"/>
    <x v="36"/>
  </r>
  <r>
    <d v="2026-10-09T00:00:00"/>
    <s v="PERFORMANCE"/>
    <n v="0"/>
    <n v="0"/>
    <m/>
    <m/>
    <m/>
    <m/>
    <m/>
    <m/>
    <m/>
    <m/>
    <m/>
    <m/>
    <x v="6"/>
    <x v="36"/>
  </r>
  <r>
    <d v="2026-10-09T00:00:00"/>
    <s v="impuesto"/>
    <n v="0"/>
    <n v="0"/>
    <m/>
    <m/>
    <m/>
    <m/>
    <m/>
    <m/>
    <m/>
    <m/>
    <m/>
    <m/>
    <x v="6"/>
    <x v="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4E74CB-678A-444C-9999-727B55E113E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2:H50" firstHeaderRow="1" firstDataRow="1" firstDataCol="1"/>
  <pivotFields count="16">
    <pivotField numFmtId="14" showAll="0"/>
    <pivotField showAll="0"/>
    <pivotField showAll="0"/>
    <pivotField dataField="1"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0"/>
        <item x="3"/>
        <item x="1"/>
        <item x="4"/>
        <item x="5"/>
        <item x="6"/>
        <item t="default"/>
      </items>
    </pivotField>
    <pivotField axis="axisRow" showAll="0">
      <items count="38">
        <item x="18"/>
        <item x="0"/>
        <item x="31"/>
        <item x="3"/>
        <item x="4"/>
        <item x="25"/>
        <item x="12"/>
        <item x="21"/>
        <item x="20"/>
        <item x="28"/>
        <item x="27"/>
        <item x="22"/>
        <item x="26"/>
        <item x="13"/>
        <item x="14"/>
        <item x="29"/>
        <item x="11"/>
        <item x="23"/>
        <item x="9"/>
        <item x="5"/>
        <item x="32"/>
        <item x="17"/>
        <item x="6"/>
        <item x="24"/>
        <item x="1"/>
        <item x="7"/>
        <item x="10"/>
        <item x="8"/>
        <item x="34"/>
        <item x="35"/>
        <item x="33"/>
        <item x="2"/>
        <item x="16"/>
        <item x="30"/>
        <item x="19"/>
        <item x="15"/>
        <item x="36"/>
        <item t="default"/>
      </items>
    </pivotField>
  </pivotFields>
  <rowFields count="2">
    <field x="14"/>
    <field x="15"/>
  </rowFields>
  <rowItems count="48">
    <i>
      <x/>
    </i>
    <i r="1">
      <x v="16"/>
    </i>
    <i r="1">
      <x v="21"/>
    </i>
    <i r="1">
      <x v="28"/>
    </i>
    <i r="1">
      <x v="29"/>
    </i>
    <i r="1">
      <x v="30"/>
    </i>
    <i r="1">
      <x v="32"/>
    </i>
    <i r="1">
      <x v="34"/>
    </i>
    <i>
      <x v="1"/>
    </i>
    <i r="1">
      <x v="1"/>
    </i>
    <i r="1">
      <x v="3"/>
    </i>
    <i r="1">
      <x v="4"/>
    </i>
    <i r="1">
      <x v="18"/>
    </i>
    <i r="1">
      <x v="19"/>
    </i>
    <i r="1">
      <x v="22"/>
    </i>
    <i r="1">
      <x v="24"/>
    </i>
    <i r="1">
      <x v="25"/>
    </i>
    <i r="1">
      <x v="26"/>
    </i>
    <i r="1">
      <x v="27"/>
    </i>
    <i r="1">
      <x v="35"/>
    </i>
    <i>
      <x v="2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23"/>
    </i>
    <i>
      <x v="3"/>
    </i>
    <i r="1">
      <x/>
    </i>
    <i r="1">
      <x v="31"/>
    </i>
    <i>
      <x v="4"/>
    </i>
    <i r="1">
      <x v="1"/>
    </i>
    <i r="1">
      <x v="2"/>
    </i>
    <i r="1">
      <x v="33"/>
    </i>
    <i>
      <x v="5"/>
    </i>
    <i r="1">
      <x v="15"/>
    </i>
    <i r="1">
      <x v="20"/>
    </i>
    <i r="1">
      <x v="22"/>
    </i>
    <i>
      <x v="6"/>
    </i>
    <i r="1">
      <x v="36"/>
    </i>
    <i t="grand">
      <x/>
    </i>
  </rowItems>
  <colItems count="1">
    <i/>
  </colItems>
  <dataFields count="1">
    <dataField name="Suma de Importe" fld="3" baseField="0" baseItem="0" numFmtId="4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C88E6-5FD5-447A-AF81-B62FF5FCEDC3}">
  <dimension ref="A1:H50"/>
  <sheetViews>
    <sheetView tabSelected="1" zoomScale="114" workbookViewId="0">
      <selection activeCell="A28" sqref="A28"/>
    </sheetView>
  </sheetViews>
  <sheetFormatPr baseColWidth="10" defaultRowHeight="15"/>
  <cols>
    <col min="1" max="1" width="70.5703125" bestFit="1" customWidth="1"/>
    <col min="2" max="3" width="15.42578125" bestFit="1" customWidth="1"/>
    <col min="4" max="4" width="13.42578125" bestFit="1" customWidth="1"/>
    <col min="6" max="7" width="113.28515625" bestFit="1" customWidth="1"/>
    <col min="8" max="8" width="16.42578125" bestFit="1" customWidth="1"/>
  </cols>
  <sheetData>
    <row r="1" spans="1:8" ht="17.25">
      <c r="A1" s="393" t="s">
        <v>346</v>
      </c>
      <c r="B1" s="386"/>
      <c r="C1" s="386"/>
      <c r="D1" s="386"/>
      <c r="E1" s="386"/>
    </row>
    <row r="2" spans="1:8">
      <c r="A2" s="392" t="s">
        <v>345</v>
      </c>
      <c r="B2" s="392" t="s">
        <v>344</v>
      </c>
      <c r="C2" s="392" t="s">
        <v>277</v>
      </c>
      <c r="D2" s="392" t="s">
        <v>343</v>
      </c>
      <c r="E2" s="388" t="s">
        <v>50</v>
      </c>
      <c r="G2" t="s">
        <v>342</v>
      </c>
      <c r="H2" t="s">
        <v>341</v>
      </c>
    </row>
    <row r="3" spans="1:8">
      <c r="A3" s="387" t="s">
        <v>340</v>
      </c>
      <c r="B3" s="386"/>
      <c r="C3" s="386"/>
      <c r="D3" s="386"/>
      <c r="E3" s="386"/>
      <c r="G3" s="371" t="s">
        <v>339</v>
      </c>
      <c r="H3" s="370">
        <v>-5910.54</v>
      </c>
    </row>
    <row r="4" spans="1:8">
      <c r="A4" s="386" t="s">
        <v>338</v>
      </c>
      <c r="B4" s="383">
        <v>39250</v>
      </c>
      <c r="C4" s="383">
        <f>-H12</f>
        <v>39250</v>
      </c>
      <c r="D4" s="383">
        <f>C4-B4</f>
        <v>0</v>
      </c>
      <c r="E4" s="382">
        <f>D4/B4</f>
        <v>0</v>
      </c>
      <c r="G4" s="372" t="s">
        <v>282</v>
      </c>
      <c r="H4" s="370">
        <v>-1945.07</v>
      </c>
    </row>
    <row r="5" spans="1:8">
      <c r="A5" s="386" t="s">
        <v>337</v>
      </c>
      <c r="B5" s="383">
        <v>822796</v>
      </c>
      <c r="C5" s="383">
        <f>-(H11-H12)</f>
        <v>821480.06</v>
      </c>
      <c r="D5" s="383">
        <f>C5-B5</f>
        <v>-1315.9399999999441</v>
      </c>
      <c r="E5" s="382">
        <f>D5/B5</f>
        <v>-1.5993514795890405E-3</v>
      </c>
      <c r="G5" s="372" t="s">
        <v>336</v>
      </c>
      <c r="H5" s="370">
        <v>-180.3</v>
      </c>
    </row>
    <row r="6" spans="1:8">
      <c r="A6" s="386" t="s">
        <v>335</v>
      </c>
      <c r="B6" s="383"/>
      <c r="C6" s="383">
        <f>-H18</f>
        <v>745123</v>
      </c>
      <c r="D6" s="383">
        <f>C6-B6</f>
        <v>745123</v>
      </c>
      <c r="E6" s="382"/>
      <c r="G6" s="372" t="s">
        <v>334</v>
      </c>
      <c r="H6" s="370">
        <v>-897.87</v>
      </c>
    </row>
    <row r="7" spans="1:8">
      <c r="A7" s="386" t="s">
        <v>333</v>
      </c>
      <c r="B7" s="383"/>
      <c r="C7" s="383">
        <f>C5-C6</f>
        <v>76357.060000000056</v>
      </c>
      <c r="D7" s="383">
        <f>C7-B7</f>
        <v>76357.060000000056</v>
      </c>
      <c r="E7" s="382"/>
      <c r="G7" s="372" t="s">
        <v>332</v>
      </c>
      <c r="H7" s="370">
        <v>414.5</v>
      </c>
    </row>
    <row r="8" spans="1:8">
      <c r="A8" s="386" t="s">
        <v>331</v>
      </c>
      <c r="B8" s="383">
        <v>0</v>
      </c>
      <c r="C8" s="383">
        <f>-H9</f>
        <v>2505.84</v>
      </c>
      <c r="D8" s="383">
        <f>C8-B8</f>
        <v>2505.84</v>
      </c>
      <c r="E8" s="382"/>
      <c r="G8" s="372" t="s">
        <v>330</v>
      </c>
      <c r="H8" s="370">
        <v>-182.79</v>
      </c>
    </row>
    <row r="9" spans="1:8">
      <c r="A9" s="390" t="s">
        <v>212</v>
      </c>
      <c r="B9" s="389">
        <f>B4+B5+B8</f>
        <v>862046</v>
      </c>
      <c r="C9" s="389">
        <f>C4+C5+C8</f>
        <v>863235.9</v>
      </c>
      <c r="D9" s="391">
        <f>C9-B9</f>
        <v>1189.9000000000233</v>
      </c>
      <c r="E9" s="388">
        <f>D9/B9</f>
        <v>1.3803207717453863E-3</v>
      </c>
      <c r="G9" s="372" t="s">
        <v>329</v>
      </c>
      <c r="H9" s="370">
        <v>-2505.84</v>
      </c>
    </row>
    <row r="10" spans="1:8">
      <c r="A10" s="387" t="s">
        <v>328</v>
      </c>
      <c r="B10" s="383"/>
      <c r="C10" s="386"/>
      <c r="D10" s="383">
        <f>C10-B10</f>
        <v>0</v>
      </c>
      <c r="E10" s="382"/>
      <c r="G10" s="372" t="s">
        <v>60</v>
      </c>
      <c r="H10" s="370">
        <v>-613.16999999999996</v>
      </c>
    </row>
    <row r="11" spans="1:8">
      <c r="A11" s="386" t="s">
        <v>327</v>
      </c>
      <c r="B11" s="383">
        <v>1600</v>
      </c>
      <c r="C11" s="383">
        <f>-H4</f>
        <v>1945.07</v>
      </c>
      <c r="D11" s="383">
        <f>C11-B11</f>
        <v>345.06999999999994</v>
      </c>
      <c r="E11" s="382">
        <f>D11/B11</f>
        <v>0.21566874999999996</v>
      </c>
      <c r="G11" s="371" t="s">
        <v>326</v>
      </c>
      <c r="H11" s="370">
        <v>-860730.06</v>
      </c>
    </row>
    <row r="12" spans="1:8">
      <c r="A12" s="386" t="s">
        <v>60</v>
      </c>
      <c r="B12" s="383">
        <v>500</v>
      </c>
      <c r="C12" s="383">
        <f>-H10</f>
        <v>613.16999999999996</v>
      </c>
      <c r="D12" s="383">
        <f>C12-B12</f>
        <v>113.16999999999996</v>
      </c>
      <c r="E12" s="382">
        <f>D12/B12</f>
        <v>0.22633999999999993</v>
      </c>
      <c r="G12" s="372" t="s">
        <v>271</v>
      </c>
      <c r="H12" s="370">
        <v>-39250</v>
      </c>
    </row>
    <row r="13" spans="1:8">
      <c r="A13" s="386" t="s">
        <v>325</v>
      </c>
      <c r="B13" s="383">
        <v>633.33333333333337</v>
      </c>
      <c r="C13" s="383">
        <f>-SUM(H5:H8)</f>
        <v>846.46</v>
      </c>
      <c r="D13" s="383">
        <f>C13-B13</f>
        <v>213.12666666666667</v>
      </c>
      <c r="E13" s="382">
        <f>D13/B13</f>
        <v>0.33651578947368421</v>
      </c>
      <c r="F13" t="s">
        <v>324</v>
      </c>
      <c r="G13" s="372" t="s">
        <v>323</v>
      </c>
      <c r="H13" s="370">
        <v>-37994</v>
      </c>
    </row>
    <row r="14" spans="1:8">
      <c r="A14" s="390" t="s">
        <v>322</v>
      </c>
      <c r="B14" s="389">
        <f>B11+B12+B13</f>
        <v>2733.3333333333335</v>
      </c>
      <c r="C14" s="389">
        <f>C11+C12+C13</f>
        <v>3404.7</v>
      </c>
      <c r="D14" s="389">
        <f>C14-B14</f>
        <v>671.36666666666633</v>
      </c>
      <c r="E14" s="388">
        <f>D14/B14</f>
        <v>0.24562195121951205</v>
      </c>
      <c r="G14" s="372" t="s">
        <v>321</v>
      </c>
      <c r="H14" s="370">
        <v>-16642</v>
      </c>
    </row>
    <row r="15" spans="1:8">
      <c r="A15" s="387" t="s">
        <v>320</v>
      </c>
      <c r="B15" s="383"/>
      <c r="C15" s="386"/>
      <c r="D15" s="383">
        <f>C15-B15</f>
        <v>0</v>
      </c>
      <c r="E15" s="382"/>
      <c r="G15" s="372" t="s">
        <v>319</v>
      </c>
      <c r="H15" s="370">
        <v>-695.75</v>
      </c>
    </row>
    <row r="16" spans="1:8">
      <c r="A16" s="386" t="s">
        <v>318</v>
      </c>
      <c r="B16" s="383">
        <v>2808</v>
      </c>
      <c r="C16" s="386"/>
      <c r="D16" s="383">
        <f>C16-B16</f>
        <v>-2808</v>
      </c>
      <c r="E16" s="382"/>
      <c r="G16" s="372" t="s">
        <v>317</v>
      </c>
      <c r="H16" s="370">
        <v>-3630</v>
      </c>
    </row>
    <row r="17" spans="1:8">
      <c r="A17" s="386" t="s">
        <v>316</v>
      </c>
      <c r="B17" s="383">
        <v>15360</v>
      </c>
      <c r="C17" s="383">
        <f>-H38</f>
        <v>15037.42</v>
      </c>
      <c r="D17" s="383">
        <f>C17-B17</f>
        <v>-322.57999999999993</v>
      </c>
      <c r="E17" s="382">
        <f>D17/B17</f>
        <v>-2.1001302083333329E-2</v>
      </c>
      <c r="G17" s="372" t="s">
        <v>66</v>
      </c>
      <c r="H17" s="370">
        <v>-15700</v>
      </c>
    </row>
    <row r="18" spans="1:8">
      <c r="A18" s="386" t="s">
        <v>315</v>
      </c>
      <c r="B18" s="383">
        <v>165500</v>
      </c>
      <c r="C18" s="383">
        <f>-H39</f>
        <v>172724.15</v>
      </c>
      <c r="D18" s="383">
        <f>C18-B18</f>
        <v>7224.1499999999942</v>
      </c>
      <c r="E18" s="382">
        <f>D18/B18</f>
        <v>4.3650453172205401E-2</v>
      </c>
      <c r="G18" s="372" t="s">
        <v>314</v>
      </c>
      <c r="H18" s="370">
        <v>-745123</v>
      </c>
    </row>
    <row r="19" spans="1:8">
      <c r="A19" s="386" t="s">
        <v>148</v>
      </c>
      <c r="B19" s="383">
        <v>0</v>
      </c>
      <c r="C19" s="386"/>
      <c r="D19" s="383"/>
      <c r="E19" s="382"/>
      <c r="G19" s="372" t="s">
        <v>313</v>
      </c>
      <c r="H19" s="370">
        <v>-186.63</v>
      </c>
    </row>
    <row r="20" spans="1:8">
      <c r="A20" s="390" t="s">
        <v>150</v>
      </c>
      <c r="B20" s="389">
        <f>SUM(B16:B19)</f>
        <v>183668</v>
      </c>
      <c r="C20" s="389">
        <f>SUM(C16:C19)</f>
        <v>187761.57</v>
      </c>
      <c r="D20" s="389">
        <f>C20-B20</f>
        <v>4093.570000000007</v>
      </c>
      <c r="E20" s="388">
        <f>D20/B20</f>
        <v>2.2287878127926514E-2</v>
      </c>
      <c r="G20" s="372" t="s">
        <v>312</v>
      </c>
      <c r="H20" s="370">
        <v>-300</v>
      </c>
    </row>
    <row r="21" spans="1:8">
      <c r="A21" s="386" t="s">
        <v>154</v>
      </c>
      <c r="B21" s="383">
        <v>0</v>
      </c>
      <c r="C21" s="386"/>
      <c r="D21" s="383">
        <f>C21-B21</f>
        <v>0</v>
      </c>
      <c r="E21" s="382"/>
      <c r="G21" s="372" t="s">
        <v>311</v>
      </c>
      <c r="H21" s="370">
        <v>-500</v>
      </c>
    </row>
    <row r="22" spans="1:8">
      <c r="A22" s="390" t="s">
        <v>310</v>
      </c>
      <c r="B22" s="389">
        <f>B9+B14+B20+B21</f>
        <v>1048447.3333333334</v>
      </c>
      <c r="C22" s="389">
        <f>C9+C14+C20+C21</f>
        <v>1054402.17</v>
      </c>
      <c r="D22" s="389">
        <f>C22-B22</f>
        <v>5954.8366666665534</v>
      </c>
      <c r="E22" s="388">
        <f>D22/B22</f>
        <v>5.6796717177336068E-3</v>
      </c>
      <c r="G22" s="372" t="s">
        <v>309</v>
      </c>
      <c r="H22" s="370">
        <v>-708.68</v>
      </c>
    </row>
    <row r="23" spans="1:8">
      <c r="A23" s="387" t="s">
        <v>308</v>
      </c>
      <c r="B23" s="383"/>
      <c r="C23" s="386"/>
      <c r="D23" s="383">
        <f>C23-B23</f>
        <v>0</v>
      </c>
      <c r="E23" s="382"/>
      <c r="G23" s="371" t="s">
        <v>307</v>
      </c>
      <c r="H23" s="370">
        <v>-1768.1675</v>
      </c>
    </row>
    <row r="24" spans="1:8">
      <c r="A24" s="386" t="s">
        <v>306</v>
      </c>
      <c r="B24" s="383">
        <v>1600</v>
      </c>
      <c r="C24" s="383">
        <f>-H23</f>
        <v>1768.1675</v>
      </c>
      <c r="D24" s="383">
        <f>C24-B24</f>
        <v>168.16750000000002</v>
      </c>
      <c r="E24" s="382">
        <f>D24/B24</f>
        <v>0.10510468750000002</v>
      </c>
      <c r="G24" s="372" t="s">
        <v>305</v>
      </c>
      <c r="H24" s="370">
        <v>-110.75</v>
      </c>
    </row>
    <row r="25" spans="1:8">
      <c r="A25" s="390" t="s">
        <v>304</v>
      </c>
      <c r="B25" s="389">
        <f>B22+B24</f>
        <v>1050047.3333333335</v>
      </c>
      <c r="C25" s="389">
        <f>C22+C24</f>
        <v>1056170.3374999999</v>
      </c>
      <c r="D25" s="389">
        <f>C25-B25</f>
        <v>6123.0041666664183</v>
      </c>
      <c r="E25" s="388">
        <f>D25/B25</f>
        <v>5.831169674255717E-3</v>
      </c>
      <c r="G25" s="372" t="s">
        <v>303</v>
      </c>
      <c r="H25" s="370">
        <v>-75.625</v>
      </c>
    </row>
    <row r="26" spans="1:8">
      <c r="A26" s="387" t="s">
        <v>302</v>
      </c>
      <c r="B26" s="383"/>
      <c r="C26" s="383"/>
      <c r="D26" s="383">
        <f>C26-B26</f>
        <v>0</v>
      </c>
      <c r="E26" s="382"/>
      <c r="G26" s="372" t="s">
        <v>301</v>
      </c>
      <c r="H26" s="370">
        <v>-75.625</v>
      </c>
    </row>
    <row r="27" spans="1:8">
      <c r="A27" s="386" t="s">
        <v>300</v>
      </c>
      <c r="B27" s="383">
        <f>Marcenado!U48*-1</f>
        <v>43443.839999999997</v>
      </c>
      <c r="C27" s="383">
        <f>-H45</f>
        <v>40560</v>
      </c>
      <c r="D27" s="383">
        <f t="shared" ref="D27:D29" si="0">C27-B27</f>
        <v>-2883.8399999999965</v>
      </c>
      <c r="E27" s="382">
        <f>D27/B27</f>
        <v>-6.6380872409068731E-2</v>
      </c>
      <c r="G27" s="372" t="s">
        <v>299</v>
      </c>
      <c r="H27" s="370">
        <v>-136.125</v>
      </c>
    </row>
    <row r="28" spans="1:8">
      <c r="A28" s="386" t="s">
        <v>298</v>
      </c>
      <c r="B28" s="383"/>
      <c r="C28" s="383">
        <f>-H46</f>
        <v>3630</v>
      </c>
      <c r="D28" s="383">
        <f t="shared" si="0"/>
        <v>3630</v>
      </c>
      <c r="E28" s="382"/>
      <c r="G28" s="372" t="s">
        <v>297</v>
      </c>
      <c r="H28" s="370">
        <v>-85.5625</v>
      </c>
    </row>
    <row r="29" spans="1:8">
      <c r="A29" s="386" t="s">
        <v>296</v>
      </c>
      <c r="B29" s="383">
        <f>Marcenado!U49*-1</f>
        <v>4500</v>
      </c>
      <c r="C29" s="383">
        <f>-H47</f>
        <v>6214.23</v>
      </c>
      <c r="D29" s="383">
        <f t="shared" si="0"/>
        <v>1714.2299999999996</v>
      </c>
      <c r="E29" s="382">
        <f t="shared" ref="E28:E30" si="1">D29/B29</f>
        <v>0.38093999999999989</v>
      </c>
      <c r="G29" s="372" t="s">
        <v>295</v>
      </c>
      <c r="H29" s="370">
        <v>-90.75</v>
      </c>
    </row>
    <row r="30" spans="1:8">
      <c r="A30" s="385" t="s">
        <v>294</v>
      </c>
      <c r="B30" s="384">
        <v>47944</v>
      </c>
      <c r="C30" s="384">
        <f>-H44</f>
        <v>50404.23</v>
      </c>
      <c r="D30" s="383">
        <f>C30-B30</f>
        <v>2460.2300000000032</v>
      </c>
      <c r="E30" s="382">
        <f t="shared" si="1"/>
        <v>5.1314658768563393E-2</v>
      </c>
      <c r="F30" t="s">
        <v>293</v>
      </c>
      <c r="G30" s="372" t="s">
        <v>292</v>
      </c>
      <c r="H30" s="370">
        <v>-90.75</v>
      </c>
    </row>
    <row r="31" spans="1:8">
      <c r="A31" s="385" t="s">
        <v>291</v>
      </c>
      <c r="B31" s="384">
        <f>B25+B30</f>
        <v>1097991.3333333335</v>
      </c>
      <c r="C31" s="384">
        <f>C25+C30</f>
        <v>1106574.5674999999</v>
      </c>
      <c r="D31" s="383">
        <f>C31-B31</f>
        <v>8583.2341666663997</v>
      </c>
      <c r="E31" s="382">
        <f>D33/B33</f>
        <v>1.6986129679147499E-4</v>
      </c>
      <c r="F31" t="s">
        <v>290</v>
      </c>
      <c r="G31" s="372" t="s">
        <v>289</v>
      </c>
      <c r="H31" s="370">
        <v>-90.75</v>
      </c>
    </row>
    <row r="32" spans="1:8">
      <c r="A32" s="387" t="s">
        <v>288</v>
      </c>
      <c r="B32" s="386"/>
      <c r="C32" s="386"/>
      <c r="D32" s="383">
        <f>C32-B32</f>
        <v>0</v>
      </c>
      <c r="E32" s="382">
        <f>D34/B34</f>
        <v>-1.9645107829005062E-3</v>
      </c>
      <c r="G32" s="372" t="s">
        <v>286</v>
      </c>
      <c r="H32" s="370">
        <v>-151.25</v>
      </c>
    </row>
    <row r="33" spans="1:8">
      <c r="A33" s="386" t="s">
        <v>285</v>
      </c>
      <c r="B33" s="383">
        <v>1196800</v>
      </c>
      <c r="C33" s="383">
        <f>H40+442.5</f>
        <v>1197003.29</v>
      </c>
      <c r="D33" s="383">
        <f>C33-B33</f>
        <v>203.29000000003725</v>
      </c>
      <c r="E33" s="382"/>
      <c r="F33" t="s">
        <v>287</v>
      </c>
      <c r="G33" s="372" t="s">
        <v>284</v>
      </c>
      <c r="H33" s="370">
        <v>-151.25</v>
      </c>
    </row>
    <row r="34" spans="1:8">
      <c r="A34" s="385" t="s">
        <v>283</v>
      </c>
      <c r="B34" s="384">
        <f>B33-B30</f>
        <v>1148856</v>
      </c>
      <c r="C34" s="384">
        <f>C33-C30</f>
        <v>1146599.06</v>
      </c>
      <c r="D34" s="383">
        <f>C34-B34</f>
        <v>-2256.9399999999441</v>
      </c>
      <c r="E34" s="382"/>
      <c r="G34" s="372" t="s">
        <v>282</v>
      </c>
      <c r="H34" s="370">
        <v>-548.77</v>
      </c>
    </row>
    <row r="35" spans="1:8">
      <c r="A35" s="385" t="s">
        <v>281</v>
      </c>
      <c r="B35" s="384">
        <f>B34-B25</f>
        <v>98808.666666666511</v>
      </c>
      <c r="C35" s="384">
        <f>C34-C25</f>
        <v>90428.722500000149</v>
      </c>
      <c r="D35" s="383">
        <f>C35-B35</f>
        <v>-8379.9441666663624</v>
      </c>
      <c r="E35" s="382"/>
      <c r="G35" s="372" t="s">
        <v>280</v>
      </c>
      <c r="H35" s="370">
        <v>-116.6033333333333</v>
      </c>
    </row>
    <row r="36" spans="1:8">
      <c r="A36" s="381"/>
      <c r="B36" s="380"/>
      <c r="D36" s="378"/>
      <c r="E36" s="373"/>
      <c r="G36" s="372" t="s">
        <v>279</v>
      </c>
      <c r="H36" s="370">
        <v>-44.356666666666662</v>
      </c>
    </row>
    <row r="37" spans="1:8">
      <c r="B37" s="379"/>
      <c r="D37" s="378"/>
      <c r="G37" s="371" t="s">
        <v>128</v>
      </c>
      <c r="H37" s="370">
        <v>-187761.57</v>
      </c>
    </row>
    <row r="38" spans="1:8">
      <c r="A38" s="377"/>
      <c r="B38" s="376" t="s">
        <v>278</v>
      </c>
      <c r="C38" s="375" t="s">
        <v>277</v>
      </c>
      <c r="D38" s="375" t="s">
        <v>276</v>
      </c>
      <c r="G38" s="372" t="s">
        <v>275</v>
      </c>
      <c r="H38" s="370">
        <v>-15037.42</v>
      </c>
    </row>
    <row r="39" spans="1:8">
      <c r="A39" t="s">
        <v>274</v>
      </c>
      <c r="B39" s="374">
        <f>B35/B25</f>
        <v>9.4099250129041634E-2</v>
      </c>
      <c r="C39" s="374">
        <f>C35/C22</f>
        <v>8.576302768800273E-2</v>
      </c>
      <c r="D39" s="373">
        <f>C39-B39</f>
        <v>-8.3362224410389041E-3</v>
      </c>
      <c r="G39" s="372" t="s">
        <v>128</v>
      </c>
      <c r="H39" s="370">
        <v>-172724.15</v>
      </c>
    </row>
    <row r="40" spans="1:8">
      <c r="A40" t="s">
        <v>273</v>
      </c>
      <c r="B40" s="374">
        <f>B35/B31</f>
        <v>8.9990388509441632E-2</v>
      </c>
      <c r="C40" s="374">
        <f>C35/C31</f>
        <v>8.1719501925928875E-2</v>
      </c>
      <c r="D40" s="373">
        <f>C40-B40</f>
        <v>-8.2708865835127571E-3</v>
      </c>
      <c r="G40" s="371" t="s">
        <v>272</v>
      </c>
      <c r="H40" s="370">
        <v>1196560.79</v>
      </c>
    </row>
    <row r="41" spans="1:8">
      <c r="G41" s="372" t="s">
        <v>271</v>
      </c>
      <c r="H41" s="370">
        <v>176292</v>
      </c>
    </row>
    <row r="42" spans="1:8">
      <c r="G42" s="372" t="s">
        <v>270</v>
      </c>
      <c r="H42" s="370">
        <v>-58.08</v>
      </c>
    </row>
    <row r="43" spans="1:8">
      <c r="G43" s="372" t="s">
        <v>269</v>
      </c>
      <c r="H43" s="370">
        <v>1020326.87</v>
      </c>
    </row>
    <row r="44" spans="1:8">
      <c r="G44" s="371" t="s">
        <v>268</v>
      </c>
      <c r="H44" s="370">
        <v>-50404.23</v>
      </c>
    </row>
    <row r="45" spans="1:8">
      <c r="G45" s="372" t="s">
        <v>267</v>
      </c>
      <c r="H45" s="370">
        <v>-40560</v>
      </c>
    </row>
    <row r="46" spans="1:8">
      <c r="G46" s="372" t="s">
        <v>266</v>
      </c>
      <c r="H46" s="370">
        <v>-3630</v>
      </c>
    </row>
    <row r="47" spans="1:8">
      <c r="G47" s="372" t="s">
        <v>66</v>
      </c>
      <c r="H47" s="370">
        <v>-6214.23</v>
      </c>
    </row>
    <row r="48" spans="1:8">
      <c r="G48" s="371" t="s">
        <v>265</v>
      </c>
      <c r="H48" s="370">
        <v>442.5</v>
      </c>
    </row>
    <row r="49" spans="7:8">
      <c r="G49" s="372" t="s">
        <v>265</v>
      </c>
      <c r="H49" s="370">
        <v>442.5</v>
      </c>
    </row>
    <row r="50" spans="7:8">
      <c r="G50" s="371" t="s">
        <v>264</v>
      </c>
      <c r="H50" s="370">
        <v>90428.722499999902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454C-400E-457E-8E35-F33AC8A5A9A4}">
  <dimension ref="B1:EG177"/>
  <sheetViews>
    <sheetView topLeftCell="D1" workbookViewId="0">
      <selection activeCell="I26" sqref="I26"/>
    </sheetView>
  </sheetViews>
  <sheetFormatPr baseColWidth="10" defaultColWidth="11.42578125" defaultRowHeight="15"/>
  <cols>
    <col min="1" max="1" width="6.42578125" style="9" customWidth="1"/>
    <col min="2" max="2" width="30.42578125" style="9" bestFit="1" customWidth="1"/>
    <col min="3" max="3" width="18.42578125" style="9" customWidth="1"/>
    <col min="4" max="4" width="18.5703125" style="9" customWidth="1"/>
    <col min="5" max="5" width="17" style="9" customWidth="1"/>
    <col min="6" max="6" width="20" style="9" customWidth="1"/>
    <col min="7" max="7" width="15.5703125" style="9" bestFit="1" customWidth="1"/>
    <col min="8" max="8" width="5.5703125" style="9" customWidth="1"/>
    <col min="9" max="9" width="28.5703125" style="9" customWidth="1"/>
    <col min="10" max="10" width="17.42578125" style="9" bestFit="1" customWidth="1"/>
    <col min="11" max="11" width="14.5703125" style="9" customWidth="1"/>
    <col min="12" max="12" width="16.42578125" style="9" customWidth="1"/>
    <col min="13" max="13" width="20.42578125" style="9" customWidth="1"/>
    <col min="14" max="14" width="22.42578125" style="9" bestFit="1" customWidth="1"/>
    <col min="15" max="15" width="17.42578125" style="9" customWidth="1"/>
    <col min="16" max="16" width="31.42578125" style="9" customWidth="1"/>
    <col min="17" max="17" width="11.42578125" style="9"/>
    <col min="18" max="18" width="11.42578125" style="1"/>
    <col min="19" max="19" width="6.42578125" style="9" customWidth="1"/>
    <col min="20" max="20" width="42" style="9" bestFit="1" customWidth="1"/>
    <col min="21" max="21" width="17.5703125" style="48" bestFit="1" customWidth="1"/>
    <col min="22" max="22" width="12.5703125" style="9" bestFit="1" customWidth="1"/>
    <col min="23" max="23" width="14.42578125" style="9" bestFit="1" customWidth="1"/>
    <col min="24" max="29" width="12.5703125" style="9" bestFit="1" customWidth="1"/>
    <col min="30" max="32" width="11.5703125" style="9" bestFit="1" customWidth="1"/>
    <col min="33" max="33" width="14.5703125" style="9" bestFit="1" customWidth="1"/>
    <col min="34" max="16384" width="11.42578125" style="9"/>
  </cols>
  <sheetData>
    <row r="1" spans="2:107" s="1" customFormat="1">
      <c r="U1" s="2"/>
    </row>
    <row r="2" spans="2:107" s="1" customFormat="1">
      <c r="B2" s="3" t="s">
        <v>0</v>
      </c>
      <c r="C2" s="4">
        <v>1</v>
      </c>
      <c r="F2" s="3"/>
      <c r="G2" s="5"/>
      <c r="U2" s="2"/>
    </row>
    <row r="3" spans="2:107" s="1" customFormat="1">
      <c r="B3" s="3" t="s">
        <v>1</v>
      </c>
      <c r="C3" s="5" t="str">
        <f>+[1]Portada!C3</f>
        <v>Santa Cruz de Marcenado 15</v>
      </c>
      <c r="F3" s="3"/>
      <c r="G3" s="5"/>
      <c r="U3" s="2"/>
    </row>
    <row r="4" spans="2:107" s="1" customFormat="1">
      <c r="B4" s="3" t="s">
        <v>2</v>
      </c>
      <c r="C4" s="5" t="s">
        <v>3</v>
      </c>
      <c r="F4" s="3"/>
      <c r="G4" s="5"/>
      <c r="U4" s="2"/>
    </row>
    <row r="5" spans="2:107" s="1" customFormat="1">
      <c r="U5" s="2"/>
    </row>
    <row r="7" spans="2:107">
      <c r="B7" s="6" t="s">
        <v>4</v>
      </c>
      <c r="C7" s="7"/>
      <c r="D7" s="7"/>
      <c r="E7" s="7"/>
      <c r="F7" s="7"/>
      <c r="G7" s="8"/>
      <c r="I7" s="3" t="s">
        <v>5</v>
      </c>
      <c r="J7" s="3"/>
      <c r="K7" s="3"/>
      <c r="L7" s="3"/>
      <c r="M7" s="3"/>
      <c r="N7" s="3"/>
      <c r="O7" s="3"/>
      <c r="P7" s="3"/>
      <c r="T7" s="10" t="s">
        <v>6</v>
      </c>
      <c r="U7" s="11"/>
      <c r="V7" s="12">
        <v>0</v>
      </c>
      <c r="W7" s="12">
        <v>1</v>
      </c>
      <c r="X7" s="12">
        <v>2</v>
      </c>
      <c r="Y7" s="12">
        <v>3</v>
      </c>
      <c r="Z7" s="12">
        <v>4</v>
      </c>
      <c r="AA7" s="12">
        <v>5</v>
      </c>
      <c r="AB7" s="12">
        <v>6</v>
      </c>
      <c r="AC7" s="12">
        <v>7</v>
      </c>
      <c r="AD7" s="12">
        <v>8</v>
      </c>
      <c r="AE7" s="12">
        <v>9</v>
      </c>
      <c r="AF7" s="12">
        <v>10</v>
      </c>
      <c r="AG7" s="12">
        <v>11</v>
      </c>
      <c r="AH7" s="12">
        <v>12</v>
      </c>
      <c r="AI7" s="12">
        <v>13</v>
      </c>
      <c r="AJ7" s="12">
        <v>14</v>
      </c>
      <c r="AK7" s="12">
        <v>15</v>
      </c>
      <c r="AL7" s="12">
        <v>16</v>
      </c>
      <c r="AM7" s="12">
        <v>17</v>
      </c>
      <c r="AN7" s="12">
        <v>18</v>
      </c>
      <c r="AO7" s="12">
        <v>19</v>
      </c>
      <c r="AP7" s="12">
        <v>20</v>
      </c>
      <c r="AQ7" s="12">
        <v>21</v>
      </c>
      <c r="AR7" s="12">
        <v>22</v>
      </c>
      <c r="AS7" s="12">
        <v>23</v>
      </c>
      <c r="AT7" s="12">
        <v>24</v>
      </c>
      <c r="AU7" s="12">
        <v>25</v>
      </c>
      <c r="AV7" s="12">
        <v>26</v>
      </c>
      <c r="AW7" s="12">
        <v>27</v>
      </c>
      <c r="AX7" s="12">
        <v>28</v>
      </c>
      <c r="AY7" s="12">
        <v>29</v>
      </c>
      <c r="AZ7" s="12">
        <v>30</v>
      </c>
      <c r="BA7" s="12">
        <v>31</v>
      </c>
      <c r="BB7" s="12">
        <v>32</v>
      </c>
      <c r="BC7" s="12">
        <v>33</v>
      </c>
      <c r="BD7" s="12">
        <v>34</v>
      </c>
      <c r="BE7" s="12">
        <v>35</v>
      </c>
      <c r="BF7" s="12">
        <v>36</v>
      </c>
      <c r="BG7" s="12">
        <v>37</v>
      </c>
      <c r="BH7" s="12">
        <v>38</v>
      </c>
      <c r="BI7" s="12">
        <v>39</v>
      </c>
      <c r="BJ7" s="12">
        <v>40</v>
      </c>
      <c r="BK7" s="12">
        <v>41</v>
      </c>
      <c r="BL7" s="12">
        <v>42</v>
      </c>
      <c r="BM7" s="12">
        <v>43</v>
      </c>
      <c r="BN7" s="12">
        <v>44</v>
      </c>
      <c r="BO7" s="12">
        <v>45</v>
      </c>
      <c r="BP7" s="12">
        <v>46</v>
      </c>
      <c r="BQ7" s="12">
        <v>47</v>
      </c>
      <c r="BR7" s="12">
        <v>48</v>
      </c>
      <c r="BS7" s="12">
        <v>49</v>
      </c>
      <c r="BT7" s="12">
        <v>50</v>
      </c>
      <c r="BU7" s="12">
        <v>51</v>
      </c>
      <c r="BV7" s="12">
        <v>52</v>
      </c>
      <c r="BW7" s="12">
        <v>53</v>
      </c>
      <c r="BX7" s="12">
        <v>54</v>
      </c>
      <c r="BY7" s="12">
        <v>55</v>
      </c>
      <c r="BZ7" s="12">
        <v>56</v>
      </c>
      <c r="CA7" s="12">
        <v>57</v>
      </c>
      <c r="CB7" s="12">
        <v>58</v>
      </c>
      <c r="CC7" s="12">
        <v>59</v>
      </c>
      <c r="CD7" s="12">
        <v>60</v>
      </c>
      <c r="CE7" s="12">
        <v>61</v>
      </c>
      <c r="CF7" s="12">
        <v>62</v>
      </c>
      <c r="CG7" s="12">
        <v>63</v>
      </c>
      <c r="CH7" s="12">
        <v>64</v>
      </c>
      <c r="CI7" s="12">
        <v>65</v>
      </c>
      <c r="CJ7" s="12">
        <v>66</v>
      </c>
      <c r="CK7" s="12">
        <v>67</v>
      </c>
      <c r="CL7" s="12">
        <v>68</v>
      </c>
      <c r="CM7" s="12">
        <v>69</v>
      </c>
      <c r="CN7" s="12">
        <v>70</v>
      </c>
      <c r="CO7" s="12">
        <v>71</v>
      </c>
      <c r="CP7" s="12">
        <v>72</v>
      </c>
      <c r="CQ7" s="12">
        <v>73</v>
      </c>
      <c r="CR7" s="12">
        <v>74</v>
      </c>
      <c r="CS7" s="12">
        <v>75</v>
      </c>
      <c r="CT7" s="12">
        <v>76</v>
      </c>
      <c r="CU7" s="12">
        <v>77</v>
      </c>
      <c r="CV7" s="12">
        <v>78</v>
      </c>
      <c r="CW7" s="12">
        <v>79</v>
      </c>
      <c r="CX7" s="12">
        <v>80</v>
      </c>
      <c r="CY7" s="12">
        <v>81</v>
      </c>
      <c r="CZ7" s="12">
        <v>82</v>
      </c>
      <c r="DA7" s="12">
        <v>83</v>
      </c>
      <c r="DB7" s="12">
        <v>84</v>
      </c>
    </row>
    <row r="8" spans="2:107">
      <c r="B8" s="13" t="s">
        <v>7</v>
      </c>
      <c r="C8" s="14"/>
      <c r="F8" s="15" t="s">
        <v>8</v>
      </c>
      <c r="G8" s="16"/>
      <c r="I8" s="17" t="s">
        <v>9</v>
      </c>
      <c r="J8" s="18"/>
      <c r="K8" s="18"/>
      <c r="L8" s="18"/>
      <c r="M8" s="18"/>
      <c r="N8" s="18"/>
      <c r="O8" s="18"/>
      <c r="P8" s="18"/>
      <c r="T8" s="10" t="s">
        <v>10</v>
      </c>
      <c r="U8" s="11"/>
      <c r="V8" s="19">
        <f>+M114</f>
        <v>45931</v>
      </c>
      <c r="W8" s="20">
        <f>+EOMONTH(V8,0)</f>
        <v>45961</v>
      </c>
      <c r="X8" s="20">
        <f t="shared" ref="X8:CI8" si="0">+EOMONTH(W8,1)</f>
        <v>45991</v>
      </c>
      <c r="Y8" s="20">
        <f t="shared" si="0"/>
        <v>46022</v>
      </c>
      <c r="Z8" s="20">
        <f t="shared" si="0"/>
        <v>46053</v>
      </c>
      <c r="AA8" s="20">
        <f t="shared" si="0"/>
        <v>46081</v>
      </c>
      <c r="AB8" s="20">
        <f t="shared" si="0"/>
        <v>46112</v>
      </c>
      <c r="AC8" s="20">
        <f t="shared" si="0"/>
        <v>46142</v>
      </c>
      <c r="AD8" s="20">
        <f t="shared" si="0"/>
        <v>46173</v>
      </c>
      <c r="AE8" s="20">
        <f t="shared" si="0"/>
        <v>46203</v>
      </c>
      <c r="AF8" s="20">
        <f t="shared" si="0"/>
        <v>46234</v>
      </c>
      <c r="AG8" s="20">
        <f t="shared" si="0"/>
        <v>46265</v>
      </c>
      <c r="AH8" s="20">
        <f t="shared" si="0"/>
        <v>46295</v>
      </c>
      <c r="AI8" s="20">
        <f t="shared" si="0"/>
        <v>46326</v>
      </c>
      <c r="AJ8" s="20">
        <f t="shared" si="0"/>
        <v>46356</v>
      </c>
      <c r="AK8" s="20">
        <f t="shared" si="0"/>
        <v>46387</v>
      </c>
      <c r="AL8" s="20">
        <f t="shared" si="0"/>
        <v>46418</v>
      </c>
      <c r="AM8" s="20">
        <f t="shared" si="0"/>
        <v>46446</v>
      </c>
      <c r="AN8" s="20">
        <f t="shared" si="0"/>
        <v>46477</v>
      </c>
      <c r="AO8" s="20">
        <f t="shared" si="0"/>
        <v>46507</v>
      </c>
      <c r="AP8" s="20">
        <f t="shared" si="0"/>
        <v>46538</v>
      </c>
      <c r="AQ8" s="20">
        <f t="shared" si="0"/>
        <v>46568</v>
      </c>
      <c r="AR8" s="20">
        <f t="shared" si="0"/>
        <v>46599</v>
      </c>
      <c r="AS8" s="20">
        <f t="shared" si="0"/>
        <v>46630</v>
      </c>
      <c r="AT8" s="20">
        <f t="shared" si="0"/>
        <v>46660</v>
      </c>
      <c r="AU8" s="20">
        <f t="shared" si="0"/>
        <v>46691</v>
      </c>
      <c r="AV8" s="20">
        <f t="shared" si="0"/>
        <v>46721</v>
      </c>
      <c r="AW8" s="20">
        <f t="shared" si="0"/>
        <v>46752</v>
      </c>
      <c r="AX8" s="20">
        <f t="shared" si="0"/>
        <v>46783</v>
      </c>
      <c r="AY8" s="20">
        <f t="shared" si="0"/>
        <v>46812</v>
      </c>
      <c r="AZ8" s="20">
        <f t="shared" si="0"/>
        <v>46843</v>
      </c>
      <c r="BA8" s="20">
        <f t="shared" si="0"/>
        <v>46873</v>
      </c>
      <c r="BB8" s="20">
        <f t="shared" si="0"/>
        <v>46904</v>
      </c>
      <c r="BC8" s="20">
        <f t="shared" si="0"/>
        <v>46934</v>
      </c>
      <c r="BD8" s="20">
        <f t="shared" si="0"/>
        <v>46965</v>
      </c>
      <c r="BE8" s="20">
        <f t="shared" si="0"/>
        <v>46996</v>
      </c>
      <c r="BF8" s="20">
        <f t="shared" si="0"/>
        <v>47026</v>
      </c>
      <c r="BG8" s="20">
        <f t="shared" si="0"/>
        <v>47057</v>
      </c>
      <c r="BH8" s="20">
        <f t="shared" si="0"/>
        <v>47087</v>
      </c>
      <c r="BI8" s="20">
        <f t="shared" si="0"/>
        <v>47118</v>
      </c>
      <c r="BJ8" s="20">
        <f t="shared" si="0"/>
        <v>47149</v>
      </c>
      <c r="BK8" s="20">
        <f t="shared" si="0"/>
        <v>47177</v>
      </c>
      <c r="BL8" s="20">
        <f t="shared" si="0"/>
        <v>47208</v>
      </c>
      <c r="BM8" s="20">
        <f t="shared" si="0"/>
        <v>47238</v>
      </c>
      <c r="BN8" s="20">
        <f t="shared" si="0"/>
        <v>47269</v>
      </c>
      <c r="BO8" s="20">
        <f t="shared" si="0"/>
        <v>47299</v>
      </c>
      <c r="BP8" s="20">
        <f t="shared" si="0"/>
        <v>47330</v>
      </c>
      <c r="BQ8" s="20">
        <f t="shared" si="0"/>
        <v>47361</v>
      </c>
      <c r="BR8" s="20">
        <f t="shared" si="0"/>
        <v>47391</v>
      </c>
      <c r="BS8" s="20">
        <f t="shared" si="0"/>
        <v>47422</v>
      </c>
      <c r="BT8" s="20">
        <f t="shared" si="0"/>
        <v>47452</v>
      </c>
      <c r="BU8" s="20">
        <f t="shared" si="0"/>
        <v>47483</v>
      </c>
      <c r="BV8" s="20">
        <f t="shared" si="0"/>
        <v>47514</v>
      </c>
      <c r="BW8" s="20">
        <f t="shared" si="0"/>
        <v>47542</v>
      </c>
      <c r="BX8" s="20">
        <f t="shared" si="0"/>
        <v>47573</v>
      </c>
      <c r="BY8" s="20">
        <f t="shared" si="0"/>
        <v>47603</v>
      </c>
      <c r="BZ8" s="20">
        <f t="shared" si="0"/>
        <v>47634</v>
      </c>
      <c r="CA8" s="20">
        <f t="shared" si="0"/>
        <v>47664</v>
      </c>
      <c r="CB8" s="20">
        <f t="shared" si="0"/>
        <v>47695</v>
      </c>
      <c r="CC8" s="20">
        <f t="shared" si="0"/>
        <v>47726</v>
      </c>
      <c r="CD8" s="20">
        <f t="shared" si="0"/>
        <v>47756</v>
      </c>
      <c r="CE8" s="20">
        <f t="shared" si="0"/>
        <v>47787</v>
      </c>
      <c r="CF8" s="20">
        <f t="shared" si="0"/>
        <v>47817</v>
      </c>
      <c r="CG8" s="20">
        <f t="shared" si="0"/>
        <v>47848</v>
      </c>
      <c r="CH8" s="20">
        <f t="shared" si="0"/>
        <v>47879</v>
      </c>
      <c r="CI8" s="20">
        <f t="shared" si="0"/>
        <v>47907</v>
      </c>
      <c r="CJ8" s="20">
        <f t="shared" ref="CJ8:DB8" si="1">+EOMONTH(CI8,1)</f>
        <v>47938</v>
      </c>
      <c r="CK8" s="20">
        <f t="shared" si="1"/>
        <v>47968</v>
      </c>
      <c r="CL8" s="20">
        <f t="shared" si="1"/>
        <v>47999</v>
      </c>
      <c r="CM8" s="20">
        <f t="shared" si="1"/>
        <v>48029</v>
      </c>
      <c r="CN8" s="20">
        <f t="shared" si="1"/>
        <v>48060</v>
      </c>
      <c r="CO8" s="20">
        <f t="shared" si="1"/>
        <v>48091</v>
      </c>
      <c r="CP8" s="20">
        <f t="shared" si="1"/>
        <v>48121</v>
      </c>
      <c r="CQ8" s="20">
        <f t="shared" si="1"/>
        <v>48152</v>
      </c>
      <c r="CR8" s="20">
        <f t="shared" si="1"/>
        <v>48182</v>
      </c>
      <c r="CS8" s="20">
        <f t="shared" si="1"/>
        <v>48213</v>
      </c>
      <c r="CT8" s="20">
        <f t="shared" si="1"/>
        <v>48244</v>
      </c>
      <c r="CU8" s="20">
        <f t="shared" si="1"/>
        <v>48273</v>
      </c>
      <c r="CV8" s="20">
        <f t="shared" si="1"/>
        <v>48304</v>
      </c>
      <c r="CW8" s="20">
        <f t="shared" si="1"/>
        <v>48334</v>
      </c>
      <c r="CX8" s="20">
        <f t="shared" si="1"/>
        <v>48365</v>
      </c>
      <c r="CY8" s="20">
        <f t="shared" si="1"/>
        <v>48395</v>
      </c>
      <c r="CZ8" s="20">
        <f t="shared" si="1"/>
        <v>48426</v>
      </c>
      <c r="DA8" s="20">
        <f t="shared" si="1"/>
        <v>48457</v>
      </c>
      <c r="DB8" s="20">
        <f t="shared" si="1"/>
        <v>48487</v>
      </c>
      <c r="DC8" s="21" t="s">
        <v>11</v>
      </c>
    </row>
    <row r="9" spans="2:107">
      <c r="B9" s="13" t="s">
        <v>12</v>
      </c>
      <c r="C9" s="14"/>
      <c r="F9" s="14" t="s">
        <v>13</v>
      </c>
      <c r="G9" s="16"/>
      <c r="J9" s="22" t="s">
        <v>14</v>
      </c>
      <c r="K9" s="22" t="s">
        <v>15</v>
      </c>
      <c r="L9" s="22" t="s">
        <v>16</v>
      </c>
      <c r="M9" s="22" t="s">
        <v>17</v>
      </c>
      <c r="N9" s="22" t="s">
        <v>18</v>
      </c>
      <c r="O9" s="22" t="s">
        <v>19</v>
      </c>
      <c r="P9" s="22" t="s">
        <v>20</v>
      </c>
      <c r="T9" s="10" t="s">
        <v>21</v>
      </c>
      <c r="U9" s="11"/>
      <c r="V9" s="10">
        <f>+YEAR(V8)</f>
        <v>2025</v>
      </c>
      <c r="W9" s="10">
        <f t="shared" ref="W9:CH9" si="2">+YEAR(W8)</f>
        <v>2025</v>
      </c>
      <c r="X9" s="10">
        <f t="shared" si="2"/>
        <v>2025</v>
      </c>
      <c r="Y9" s="10">
        <f t="shared" si="2"/>
        <v>2025</v>
      </c>
      <c r="Z9" s="10">
        <f t="shared" si="2"/>
        <v>2026</v>
      </c>
      <c r="AA9" s="10">
        <f t="shared" si="2"/>
        <v>2026</v>
      </c>
      <c r="AB9" s="10">
        <f t="shared" si="2"/>
        <v>2026</v>
      </c>
      <c r="AC9" s="10">
        <f t="shared" si="2"/>
        <v>2026</v>
      </c>
      <c r="AD9" s="10">
        <f t="shared" si="2"/>
        <v>2026</v>
      </c>
      <c r="AE9" s="10">
        <f t="shared" si="2"/>
        <v>2026</v>
      </c>
      <c r="AF9" s="10">
        <f t="shared" si="2"/>
        <v>2026</v>
      </c>
      <c r="AG9" s="10">
        <f t="shared" si="2"/>
        <v>2026</v>
      </c>
      <c r="AH9" s="10">
        <f t="shared" si="2"/>
        <v>2026</v>
      </c>
      <c r="AI9" s="10">
        <f t="shared" si="2"/>
        <v>2026</v>
      </c>
      <c r="AJ9" s="10">
        <f t="shared" si="2"/>
        <v>2026</v>
      </c>
      <c r="AK9" s="10">
        <f t="shared" si="2"/>
        <v>2026</v>
      </c>
      <c r="AL9" s="10">
        <f t="shared" si="2"/>
        <v>2027</v>
      </c>
      <c r="AM9" s="10">
        <f t="shared" si="2"/>
        <v>2027</v>
      </c>
      <c r="AN9" s="10">
        <f t="shared" si="2"/>
        <v>2027</v>
      </c>
      <c r="AO9" s="10">
        <f t="shared" si="2"/>
        <v>2027</v>
      </c>
      <c r="AP9" s="10">
        <f t="shared" si="2"/>
        <v>2027</v>
      </c>
      <c r="AQ9" s="10">
        <f t="shared" si="2"/>
        <v>2027</v>
      </c>
      <c r="AR9" s="10">
        <f t="shared" si="2"/>
        <v>2027</v>
      </c>
      <c r="AS9" s="10">
        <f t="shared" si="2"/>
        <v>2027</v>
      </c>
      <c r="AT9" s="10">
        <f t="shared" si="2"/>
        <v>2027</v>
      </c>
      <c r="AU9" s="10">
        <f t="shared" si="2"/>
        <v>2027</v>
      </c>
      <c r="AV9" s="10">
        <f t="shared" si="2"/>
        <v>2027</v>
      </c>
      <c r="AW9" s="10">
        <f t="shared" si="2"/>
        <v>2027</v>
      </c>
      <c r="AX9" s="10">
        <f t="shared" si="2"/>
        <v>2028</v>
      </c>
      <c r="AY9" s="10">
        <f t="shared" si="2"/>
        <v>2028</v>
      </c>
      <c r="AZ9" s="10">
        <f t="shared" si="2"/>
        <v>2028</v>
      </c>
      <c r="BA9" s="10">
        <f t="shared" si="2"/>
        <v>2028</v>
      </c>
      <c r="BB9" s="10">
        <f t="shared" si="2"/>
        <v>2028</v>
      </c>
      <c r="BC9" s="10">
        <f t="shared" si="2"/>
        <v>2028</v>
      </c>
      <c r="BD9" s="10">
        <f t="shared" si="2"/>
        <v>2028</v>
      </c>
      <c r="BE9" s="10">
        <f t="shared" si="2"/>
        <v>2028</v>
      </c>
      <c r="BF9" s="10">
        <f t="shared" si="2"/>
        <v>2028</v>
      </c>
      <c r="BG9" s="10">
        <f t="shared" si="2"/>
        <v>2028</v>
      </c>
      <c r="BH9" s="10">
        <f t="shared" si="2"/>
        <v>2028</v>
      </c>
      <c r="BI9" s="10">
        <f t="shared" si="2"/>
        <v>2028</v>
      </c>
      <c r="BJ9" s="10">
        <f t="shared" si="2"/>
        <v>2029</v>
      </c>
      <c r="BK9" s="10">
        <f t="shared" si="2"/>
        <v>2029</v>
      </c>
      <c r="BL9" s="10">
        <f t="shared" si="2"/>
        <v>2029</v>
      </c>
      <c r="BM9" s="10">
        <f t="shared" si="2"/>
        <v>2029</v>
      </c>
      <c r="BN9" s="10">
        <f t="shared" si="2"/>
        <v>2029</v>
      </c>
      <c r="BO9" s="10">
        <f t="shared" si="2"/>
        <v>2029</v>
      </c>
      <c r="BP9" s="10">
        <f t="shared" si="2"/>
        <v>2029</v>
      </c>
      <c r="BQ9" s="10">
        <f t="shared" si="2"/>
        <v>2029</v>
      </c>
      <c r="BR9" s="10">
        <f t="shared" si="2"/>
        <v>2029</v>
      </c>
      <c r="BS9" s="10">
        <f t="shared" si="2"/>
        <v>2029</v>
      </c>
      <c r="BT9" s="10">
        <f t="shared" si="2"/>
        <v>2029</v>
      </c>
      <c r="BU9" s="10">
        <f t="shared" si="2"/>
        <v>2029</v>
      </c>
      <c r="BV9" s="10">
        <f t="shared" si="2"/>
        <v>2030</v>
      </c>
      <c r="BW9" s="10">
        <f t="shared" si="2"/>
        <v>2030</v>
      </c>
      <c r="BX9" s="10">
        <f t="shared" si="2"/>
        <v>2030</v>
      </c>
      <c r="BY9" s="10">
        <f t="shared" si="2"/>
        <v>2030</v>
      </c>
      <c r="BZ9" s="10">
        <f t="shared" si="2"/>
        <v>2030</v>
      </c>
      <c r="CA9" s="10">
        <f t="shared" si="2"/>
        <v>2030</v>
      </c>
      <c r="CB9" s="10">
        <f t="shared" si="2"/>
        <v>2030</v>
      </c>
      <c r="CC9" s="10">
        <f t="shared" si="2"/>
        <v>2030</v>
      </c>
      <c r="CD9" s="10">
        <f t="shared" si="2"/>
        <v>2030</v>
      </c>
      <c r="CE9" s="10">
        <f t="shared" si="2"/>
        <v>2030</v>
      </c>
      <c r="CF9" s="10">
        <f t="shared" si="2"/>
        <v>2030</v>
      </c>
      <c r="CG9" s="10">
        <f t="shared" si="2"/>
        <v>2030</v>
      </c>
      <c r="CH9" s="10">
        <f t="shared" si="2"/>
        <v>2031</v>
      </c>
      <c r="CI9" s="10">
        <f t="shared" ref="CI9:DB9" si="3">+YEAR(CI8)</f>
        <v>2031</v>
      </c>
      <c r="CJ9" s="10">
        <f t="shared" si="3"/>
        <v>2031</v>
      </c>
      <c r="CK9" s="10">
        <f t="shared" si="3"/>
        <v>2031</v>
      </c>
      <c r="CL9" s="10">
        <f t="shared" si="3"/>
        <v>2031</v>
      </c>
      <c r="CM9" s="10">
        <f t="shared" si="3"/>
        <v>2031</v>
      </c>
      <c r="CN9" s="10">
        <f t="shared" si="3"/>
        <v>2031</v>
      </c>
      <c r="CO9" s="10">
        <f t="shared" si="3"/>
        <v>2031</v>
      </c>
      <c r="CP9" s="10">
        <f t="shared" si="3"/>
        <v>2031</v>
      </c>
      <c r="CQ9" s="10">
        <f t="shared" si="3"/>
        <v>2031</v>
      </c>
      <c r="CR9" s="10">
        <f t="shared" si="3"/>
        <v>2031</v>
      </c>
      <c r="CS9" s="10">
        <f t="shared" si="3"/>
        <v>2031</v>
      </c>
      <c r="CT9" s="10">
        <f t="shared" si="3"/>
        <v>2032</v>
      </c>
      <c r="CU9" s="10">
        <f t="shared" si="3"/>
        <v>2032</v>
      </c>
      <c r="CV9" s="10">
        <f t="shared" si="3"/>
        <v>2032</v>
      </c>
      <c r="CW9" s="10">
        <f t="shared" si="3"/>
        <v>2032</v>
      </c>
      <c r="CX9" s="10">
        <f t="shared" si="3"/>
        <v>2032</v>
      </c>
      <c r="CY9" s="10">
        <f t="shared" si="3"/>
        <v>2032</v>
      </c>
      <c r="CZ9" s="10">
        <f t="shared" si="3"/>
        <v>2032</v>
      </c>
      <c r="DA9" s="10">
        <f t="shared" si="3"/>
        <v>2032</v>
      </c>
      <c r="DB9" s="10">
        <f t="shared" si="3"/>
        <v>2032</v>
      </c>
      <c r="DC9" s="21" t="s">
        <v>11</v>
      </c>
    </row>
    <row r="10" spans="2:107">
      <c r="B10" s="13" t="s">
        <v>22</v>
      </c>
      <c r="C10" s="14"/>
      <c r="F10" s="14" t="s">
        <v>23</v>
      </c>
      <c r="G10" s="16"/>
      <c r="I10" s="23" t="s">
        <v>24</v>
      </c>
      <c r="J10" s="24">
        <v>0</v>
      </c>
      <c r="K10" s="25">
        <f>+J10*E31</f>
        <v>0</v>
      </c>
      <c r="L10" s="26">
        <v>0.03</v>
      </c>
      <c r="M10" s="27">
        <f>+L10/12</f>
        <v>2.5000000000000001E-3</v>
      </c>
      <c r="N10" s="28">
        <f>+P115</f>
        <v>45991</v>
      </c>
      <c r="O10" s="14">
        <f>+ROUNDDOWN((P10-N10)/30,0)</f>
        <v>6</v>
      </c>
      <c r="P10" s="28">
        <f>+P122</f>
        <v>46173</v>
      </c>
      <c r="T10" s="10" t="s">
        <v>25</v>
      </c>
      <c r="U10" s="11"/>
      <c r="V10" s="10">
        <f>+V9-2024+1</f>
        <v>2</v>
      </c>
      <c r="W10" s="10">
        <f t="shared" ref="W10:CH10" si="4">+W9-2024+1</f>
        <v>2</v>
      </c>
      <c r="X10" s="10">
        <f t="shared" si="4"/>
        <v>2</v>
      </c>
      <c r="Y10" s="10">
        <f t="shared" si="4"/>
        <v>2</v>
      </c>
      <c r="Z10" s="10">
        <f t="shared" si="4"/>
        <v>3</v>
      </c>
      <c r="AA10" s="10">
        <f t="shared" si="4"/>
        <v>3</v>
      </c>
      <c r="AB10" s="10">
        <f t="shared" si="4"/>
        <v>3</v>
      </c>
      <c r="AC10" s="10">
        <f t="shared" si="4"/>
        <v>3</v>
      </c>
      <c r="AD10" s="10">
        <f t="shared" si="4"/>
        <v>3</v>
      </c>
      <c r="AE10" s="10">
        <f t="shared" si="4"/>
        <v>3</v>
      </c>
      <c r="AF10" s="10">
        <f t="shared" si="4"/>
        <v>3</v>
      </c>
      <c r="AG10" s="10">
        <f t="shared" si="4"/>
        <v>3</v>
      </c>
      <c r="AH10" s="10">
        <f t="shared" si="4"/>
        <v>3</v>
      </c>
      <c r="AI10" s="10">
        <f t="shared" si="4"/>
        <v>3</v>
      </c>
      <c r="AJ10" s="10">
        <f t="shared" si="4"/>
        <v>3</v>
      </c>
      <c r="AK10" s="10">
        <f t="shared" si="4"/>
        <v>3</v>
      </c>
      <c r="AL10" s="10">
        <f t="shared" si="4"/>
        <v>4</v>
      </c>
      <c r="AM10" s="10">
        <f t="shared" si="4"/>
        <v>4</v>
      </c>
      <c r="AN10" s="10">
        <f t="shared" si="4"/>
        <v>4</v>
      </c>
      <c r="AO10" s="10">
        <f t="shared" si="4"/>
        <v>4</v>
      </c>
      <c r="AP10" s="10">
        <f t="shared" si="4"/>
        <v>4</v>
      </c>
      <c r="AQ10" s="10">
        <f t="shared" si="4"/>
        <v>4</v>
      </c>
      <c r="AR10" s="10">
        <f t="shared" si="4"/>
        <v>4</v>
      </c>
      <c r="AS10" s="10">
        <f t="shared" si="4"/>
        <v>4</v>
      </c>
      <c r="AT10" s="10">
        <f t="shared" si="4"/>
        <v>4</v>
      </c>
      <c r="AU10" s="10">
        <f t="shared" si="4"/>
        <v>4</v>
      </c>
      <c r="AV10" s="10">
        <f t="shared" si="4"/>
        <v>4</v>
      </c>
      <c r="AW10" s="10">
        <f t="shared" si="4"/>
        <v>4</v>
      </c>
      <c r="AX10" s="10">
        <f t="shared" si="4"/>
        <v>5</v>
      </c>
      <c r="AY10" s="10">
        <f t="shared" si="4"/>
        <v>5</v>
      </c>
      <c r="AZ10" s="10">
        <f t="shared" si="4"/>
        <v>5</v>
      </c>
      <c r="BA10" s="10">
        <f t="shared" si="4"/>
        <v>5</v>
      </c>
      <c r="BB10" s="10">
        <f t="shared" si="4"/>
        <v>5</v>
      </c>
      <c r="BC10" s="10">
        <f t="shared" si="4"/>
        <v>5</v>
      </c>
      <c r="BD10" s="10">
        <f t="shared" si="4"/>
        <v>5</v>
      </c>
      <c r="BE10" s="10">
        <f t="shared" si="4"/>
        <v>5</v>
      </c>
      <c r="BF10" s="10">
        <f t="shared" si="4"/>
        <v>5</v>
      </c>
      <c r="BG10" s="10">
        <f t="shared" si="4"/>
        <v>5</v>
      </c>
      <c r="BH10" s="10">
        <f t="shared" si="4"/>
        <v>5</v>
      </c>
      <c r="BI10" s="10">
        <f t="shared" si="4"/>
        <v>5</v>
      </c>
      <c r="BJ10" s="10">
        <f t="shared" si="4"/>
        <v>6</v>
      </c>
      <c r="BK10" s="10">
        <f t="shared" si="4"/>
        <v>6</v>
      </c>
      <c r="BL10" s="10">
        <f t="shared" si="4"/>
        <v>6</v>
      </c>
      <c r="BM10" s="10">
        <f t="shared" si="4"/>
        <v>6</v>
      </c>
      <c r="BN10" s="10">
        <f t="shared" si="4"/>
        <v>6</v>
      </c>
      <c r="BO10" s="10">
        <f t="shared" si="4"/>
        <v>6</v>
      </c>
      <c r="BP10" s="10">
        <f t="shared" si="4"/>
        <v>6</v>
      </c>
      <c r="BQ10" s="10">
        <f t="shared" si="4"/>
        <v>6</v>
      </c>
      <c r="BR10" s="10">
        <f t="shared" si="4"/>
        <v>6</v>
      </c>
      <c r="BS10" s="10">
        <f t="shared" si="4"/>
        <v>6</v>
      </c>
      <c r="BT10" s="10">
        <f t="shared" si="4"/>
        <v>6</v>
      </c>
      <c r="BU10" s="10">
        <f t="shared" si="4"/>
        <v>6</v>
      </c>
      <c r="BV10" s="10">
        <f t="shared" si="4"/>
        <v>7</v>
      </c>
      <c r="BW10" s="10">
        <f t="shared" si="4"/>
        <v>7</v>
      </c>
      <c r="BX10" s="10">
        <f t="shared" si="4"/>
        <v>7</v>
      </c>
      <c r="BY10" s="10">
        <f t="shared" si="4"/>
        <v>7</v>
      </c>
      <c r="BZ10" s="10">
        <f t="shared" si="4"/>
        <v>7</v>
      </c>
      <c r="CA10" s="10">
        <f t="shared" si="4"/>
        <v>7</v>
      </c>
      <c r="CB10" s="10">
        <f t="shared" si="4"/>
        <v>7</v>
      </c>
      <c r="CC10" s="10">
        <f t="shared" si="4"/>
        <v>7</v>
      </c>
      <c r="CD10" s="10">
        <f t="shared" si="4"/>
        <v>7</v>
      </c>
      <c r="CE10" s="10">
        <f t="shared" si="4"/>
        <v>7</v>
      </c>
      <c r="CF10" s="10">
        <f t="shared" si="4"/>
        <v>7</v>
      </c>
      <c r="CG10" s="10">
        <f t="shared" si="4"/>
        <v>7</v>
      </c>
      <c r="CH10" s="10">
        <f t="shared" si="4"/>
        <v>8</v>
      </c>
      <c r="CI10" s="10">
        <f t="shared" ref="CI10:DB10" si="5">+CI9-2024+1</f>
        <v>8</v>
      </c>
      <c r="CJ10" s="10">
        <f t="shared" si="5"/>
        <v>8</v>
      </c>
      <c r="CK10" s="10">
        <f t="shared" si="5"/>
        <v>8</v>
      </c>
      <c r="CL10" s="10">
        <f t="shared" si="5"/>
        <v>8</v>
      </c>
      <c r="CM10" s="10">
        <f t="shared" si="5"/>
        <v>8</v>
      </c>
      <c r="CN10" s="10">
        <f t="shared" si="5"/>
        <v>8</v>
      </c>
      <c r="CO10" s="10">
        <f t="shared" si="5"/>
        <v>8</v>
      </c>
      <c r="CP10" s="10">
        <f t="shared" si="5"/>
        <v>8</v>
      </c>
      <c r="CQ10" s="10">
        <f t="shared" si="5"/>
        <v>8</v>
      </c>
      <c r="CR10" s="10">
        <f t="shared" si="5"/>
        <v>8</v>
      </c>
      <c r="CS10" s="10">
        <f t="shared" si="5"/>
        <v>8</v>
      </c>
      <c r="CT10" s="10">
        <f t="shared" si="5"/>
        <v>9</v>
      </c>
      <c r="CU10" s="10">
        <f t="shared" si="5"/>
        <v>9</v>
      </c>
      <c r="CV10" s="10">
        <f t="shared" si="5"/>
        <v>9</v>
      </c>
      <c r="CW10" s="10">
        <f t="shared" si="5"/>
        <v>9</v>
      </c>
      <c r="CX10" s="10">
        <f t="shared" si="5"/>
        <v>9</v>
      </c>
      <c r="CY10" s="10">
        <f t="shared" si="5"/>
        <v>9</v>
      </c>
      <c r="CZ10" s="10">
        <f t="shared" si="5"/>
        <v>9</v>
      </c>
      <c r="DA10" s="10">
        <f t="shared" si="5"/>
        <v>9</v>
      </c>
      <c r="DB10" s="10">
        <f t="shared" si="5"/>
        <v>9</v>
      </c>
      <c r="DC10" s="21" t="s">
        <v>11</v>
      </c>
    </row>
    <row r="11" spans="2:107">
      <c r="B11" s="29" t="s">
        <v>26</v>
      </c>
      <c r="C11" s="30"/>
      <c r="D11" s="31"/>
      <c r="E11" s="31"/>
      <c r="F11" s="30">
        <v>1972</v>
      </c>
      <c r="G11" s="32"/>
      <c r="I11" s="23" t="s">
        <v>27</v>
      </c>
      <c r="J11" s="33">
        <f>+O10/12</f>
        <v>0.5</v>
      </c>
      <c r="K11" s="25"/>
      <c r="L11" s="34"/>
      <c r="M11" s="35" t="s">
        <v>28</v>
      </c>
      <c r="N11" s="36">
        <v>0</v>
      </c>
      <c r="U11" s="37" t="s">
        <v>29</v>
      </c>
      <c r="DC11" s="21" t="s">
        <v>11</v>
      </c>
    </row>
    <row r="12" spans="2:107">
      <c r="B12" s="38"/>
      <c r="C12" s="39"/>
      <c r="I12" s="23" t="s">
        <v>30</v>
      </c>
      <c r="K12" s="40">
        <f>+M10*K10</f>
        <v>0</v>
      </c>
      <c r="L12" s="34"/>
      <c r="T12" s="41"/>
      <c r="U12" s="42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  <c r="CD12" s="38"/>
      <c r="CE12" s="38"/>
      <c r="CF12" s="38"/>
      <c r="CG12" s="38"/>
      <c r="CH12" s="38"/>
      <c r="CI12" s="38"/>
      <c r="CJ12" s="38"/>
      <c r="CK12" s="38"/>
      <c r="CL12" s="38"/>
      <c r="CM12" s="38"/>
      <c r="CN12" s="38"/>
      <c r="CO12" s="38"/>
      <c r="CP12" s="38"/>
      <c r="CQ12" s="38"/>
      <c r="CR12" s="38"/>
      <c r="CS12" s="38"/>
      <c r="CT12" s="38"/>
      <c r="CU12" s="38"/>
      <c r="CV12" s="38"/>
      <c r="CW12" s="38"/>
      <c r="CX12" s="38"/>
      <c r="CY12" s="38"/>
      <c r="CZ12" s="38"/>
      <c r="DA12" s="38"/>
      <c r="DB12" s="38"/>
      <c r="DC12" s="21" t="s">
        <v>11</v>
      </c>
    </row>
    <row r="13" spans="2:107">
      <c r="B13" s="43" t="s">
        <v>31</v>
      </c>
      <c r="C13" s="1"/>
      <c r="D13" s="1"/>
      <c r="E13" s="1"/>
      <c r="F13" s="1"/>
      <c r="G13" s="1"/>
      <c r="I13" s="44" t="s">
        <v>32</v>
      </c>
      <c r="J13" s="45"/>
      <c r="K13" s="46">
        <f>+K14-K12</f>
        <v>0</v>
      </c>
      <c r="L13" s="47"/>
      <c r="M13" s="45"/>
      <c r="N13" s="45"/>
      <c r="O13" s="45"/>
      <c r="P13" s="45"/>
      <c r="DC13" s="21" t="s">
        <v>11</v>
      </c>
    </row>
    <row r="14" spans="2:107">
      <c r="B14" s="17" t="s">
        <v>33</v>
      </c>
      <c r="C14" s="18"/>
      <c r="D14" s="18"/>
      <c r="E14" s="18"/>
      <c r="F14" s="18"/>
      <c r="G14" s="18"/>
      <c r="I14" s="23" t="s">
        <v>34</v>
      </c>
      <c r="K14" s="49">
        <f>+PMT(M10,O10,-K10,J15*K10)</f>
        <v>0</v>
      </c>
      <c r="L14" s="34"/>
      <c r="T14" s="50" t="s">
        <v>35</v>
      </c>
      <c r="U14" s="51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21" t="s">
        <v>11</v>
      </c>
    </row>
    <row r="15" spans="2:107">
      <c r="B15" s="53" t="s">
        <v>36</v>
      </c>
      <c r="D15" s="22" t="s">
        <v>37</v>
      </c>
      <c r="E15" s="22" t="s">
        <v>38</v>
      </c>
      <c r="F15" s="22" t="s">
        <v>39</v>
      </c>
      <c r="G15" s="22" t="s">
        <v>40</v>
      </c>
      <c r="I15" s="54" t="s">
        <v>41</v>
      </c>
      <c r="J15" s="55">
        <v>1</v>
      </c>
      <c r="K15" s="56"/>
      <c r="T15" s="57" t="str">
        <f>+T130</f>
        <v>Arras/reserva</v>
      </c>
      <c r="U15" s="58">
        <f t="shared" ref="U15" si="6">+SUM(V15:DB15)</f>
        <v>-39250</v>
      </c>
      <c r="V15" s="59">
        <f>+-V130*$E$112-V131*$E$113</f>
        <v>0</v>
      </c>
      <c r="W15" s="59">
        <f t="shared" ref="W15:CH15" si="7">+-W130*$E$112-W131*$E$113</f>
        <v>-39250</v>
      </c>
      <c r="X15" s="59">
        <f t="shared" si="7"/>
        <v>0</v>
      </c>
      <c r="Y15" s="59">
        <f t="shared" si="7"/>
        <v>0</v>
      </c>
      <c r="Z15" s="59">
        <f t="shared" si="7"/>
        <v>0</v>
      </c>
      <c r="AA15" s="59">
        <f t="shared" si="7"/>
        <v>0</v>
      </c>
      <c r="AB15" s="59">
        <f t="shared" si="7"/>
        <v>0</v>
      </c>
      <c r="AC15" s="59">
        <f t="shared" si="7"/>
        <v>0</v>
      </c>
      <c r="AD15" s="59">
        <f t="shared" si="7"/>
        <v>0</v>
      </c>
      <c r="AE15" s="59">
        <f t="shared" si="7"/>
        <v>0</v>
      </c>
      <c r="AF15" s="59">
        <f t="shared" si="7"/>
        <v>0</v>
      </c>
      <c r="AG15" s="59">
        <f t="shared" si="7"/>
        <v>0</v>
      </c>
      <c r="AH15" s="59">
        <f t="shared" si="7"/>
        <v>0</v>
      </c>
      <c r="AI15" s="59">
        <f t="shared" si="7"/>
        <v>0</v>
      </c>
      <c r="AJ15" s="59">
        <f t="shared" si="7"/>
        <v>0</v>
      </c>
      <c r="AK15" s="59">
        <f t="shared" si="7"/>
        <v>0</v>
      </c>
      <c r="AL15" s="59">
        <f t="shared" si="7"/>
        <v>0</v>
      </c>
      <c r="AM15" s="59">
        <f t="shared" si="7"/>
        <v>0</v>
      </c>
      <c r="AN15" s="59">
        <f t="shared" si="7"/>
        <v>0</v>
      </c>
      <c r="AO15" s="59">
        <f t="shared" si="7"/>
        <v>0</v>
      </c>
      <c r="AP15" s="59">
        <f t="shared" si="7"/>
        <v>0</v>
      </c>
      <c r="AQ15" s="59">
        <f t="shared" si="7"/>
        <v>0</v>
      </c>
      <c r="AR15" s="59">
        <f t="shared" si="7"/>
        <v>0</v>
      </c>
      <c r="AS15" s="59">
        <f t="shared" si="7"/>
        <v>0</v>
      </c>
      <c r="AT15" s="59">
        <f t="shared" si="7"/>
        <v>0</v>
      </c>
      <c r="AU15" s="59">
        <f t="shared" si="7"/>
        <v>0</v>
      </c>
      <c r="AV15" s="59">
        <f t="shared" si="7"/>
        <v>0</v>
      </c>
      <c r="AW15" s="59">
        <f t="shared" si="7"/>
        <v>0</v>
      </c>
      <c r="AX15" s="59">
        <f t="shared" si="7"/>
        <v>0</v>
      </c>
      <c r="AY15" s="59">
        <f t="shared" si="7"/>
        <v>0</v>
      </c>
      <c r="AZ15" s="59">
        <f t="shared" si="7"/>
        <v>0</v>
      </c>
      <c r="BA15" s="59">
        <f t="shared" si="7"/>
        <v>0</v>
      </c>
      <c r="BB15" s="59">
        <f t="shared" si="7"/>
        <v>0</v>
      </c>
      <c r="BC15" s="59">
        <f t="shared" si="7"/>
        <v>0</v>
      </c>
      <c r="BD15" s="59">
        <f t="shared" si="7"/>
        <v>0</v>
      </c>
      <c r="BE15" s="59">
        <f t="shared" si="7"/>
        <v>0</v>
      </c>
      <c r="BF15" s="59">
        <f t="shared" si="7"/>
        <v>0</v>
      </c>
      <c r="BG15" s="59">
        <f t="shared" si="7"/>
        <v>0</v>
      </c>
      <c r="BH15" s="59">
        <f t="shared" si="7"/>
        <v>0</v>
      </c>
      <c r="BI15" s="59">
        <f t="shared" si="7"/>
        <v>0</v>
      </c>
      <c r="BJ15" s="59">
        <f t="shared" si="7"/>
        <v>0</v>
      </c>
      <c r="BK15" s="59">
        <f t="shared" si="7"/>
        <v>0</v>
      </c>
      <c r="BL15" s="59">
        <f t="shared" si="7"/>
        <v>0</v>
      </c>
      <c r="BM15" s="59">
        <f t="shared" si="7"/>
        <v>0</v>
      </c>
      <c r="BN15" s="59">
        <f t="shared" si="7"/>
        <v>0</v>
      </c>
      <c r="BO15" s="59">
        <f t="shared" si="7"/>
        <v>0</v>
      </c>
      <c r="BP15" s="59">
        <f t="shared" si="7"/>
        <v>0</v>
      </c>
      <c r="BQ15" s="59">
        <f t="shared" si="7"/>
        <v>0</v>
      </c>
      <c r="BR15" s="59">
        <f t="shared" si="7"/>
        <v>0</v>
      </c>
      <c r="BS15" s="59">
        <f t="shared" si="7"/>
        <v>0</v>
      </c>
      <c r="BT15" s="59">
        <f t="shared" si="7"/>
        <v>0</v>
      </c>
      <c r="BU15" s="59">
        <f t="shared" si="7"/>
        <v>0</v>
      </c>
      <c r="BV15" s="59">
        <f t="shared" si="7"/>
        <v>0</v>
      </c>
      <c r="BW15" s="59">
        <f t="shared" si="7"/>
        <v>0</v>
      </c>
      <c r="BX15" s="59">
        <f t="shared" si="7"/>
        <v>0</v>
      </c>
      <c r="BY15" s="59">
        <f t="shared" si="7"/>
        <v>0</v>
      </c>
      <c r="BZ15" s="59">
        <f t="shared" si="7"/>
        <v>0</v>
      </c>
      <c r="CA15" s="59">
        <f t="shared" si="7"/>
        <v>0</v>
      </c>
      <c r="CB15" s="59">
        <f t="shared" si="7"/>
        <v>0</v>
      </c>
      <c r="CC15" s="59">
        <f t="shared" si="7"/>
        <v>0</v>
      </c>
      <c r="CD15" s="59">
        <f t="shared" si="7"/>
        <v>0</v>
      </c>
      <c r="CE15" s="59">
        <f t="shared" si="7"/>
        <v>0</v>
      </c>
      <c r="CF15" s="59">
        <f t="shared" si="7"/>
        <v>0</v>
      </c>
      <c r="CG15" s="59">
        <f t="shared" si="7"/>
        <v>0</v>
      </c>
      <c r="CH15" s="59">
        <f t="shared" si="7"/>
        <v>0</v>
      </c>
      <c r="CI15" s="59">
        <f t="shared" ref="CI15:DB15" si="8">+-CI130*$E$112-CI131*$E$113</f>
        <v>0</v>
      </c>
      <c r="CJ15" s="59">
        <f t="shared" si="8"/>
        <v>0</v>
      </c>
      <c r="CK15" s="59">
        <f t="shared" si="8"/>
        <v>0</v>
      </c>
      <c r="CL15" s="59">
        <f t="shared" si="8"/>
        <v>0</v>
      </c>
      <c r="CM15" s="59">
        <f t="shared" si="8"/>
        <v>0</v>
      </c>
      <c r="CN15" s="59">
        <f t="shared" si="8"/>
        <v>0</v>
      </c>
      <c r="CO15" s="59">
        <f t="shared" si="8"/>
        <v>0</v>
      </c>
      <c r="CP15" s="59">
        <f t="shared" si="8"/>
        <v>0</v>
      </c>
      <c r="CQ15" s="59">
        <f t="shared" si="8"/>
        <v>0</v>
      </c>
      <c r="CR15" s="59">
        <f t="shared" si="8"/>
        <v>0</v>
      </c>
      <c r="CS15" s="59">
        <f t="shared" si="8"/>
        <v>0</v>
      </c>
      <c r="CT15" s="59">
        <f t="shared" si="8"/>
        <v>0</v>
      </c>
      <c r="CU15" s="59">
        <f t="shared" si="8"/>
        <v>0</v>
      </c>
      <c r="CV15" s="59">
        <f t="shared" si="8"/>
        <v>0</v>
      </c>
      <c r="CW15" s="59">
        <f t="shared" si="8"/>
        <v>0</v>
      </c>
      <c r="CX15" s="59">
        <f t="shared" si="8"/>
        <v>0</v>
      </c>
      <c r="CY15" s="59">
        <f t="shared" si="8"/>
        <v>0</v>
      </c>
      <c r="CZ15" s="59">
        <f t="shared" si="8"/>
        <v>0</v>
      </c>
      <c r="DA15" s="59">
        <f t="shared" si="8"/>
        <v>0</v>
      </c>
      <c r="DB15" s="59">
        <f t="shared" si="8"/>
        <v>0</v>
      </c>
      <c r="DC15" s="21" t="s">
        <v>11</v>
      </c>
    </row>
    <row r="16" spans="2:107">
      <c r="B16" s="57" t="s">
        <v>42</v>
      </c>
      <c r="D16" s="60">
        <v>0</v>
      </c>
      <c r="E16" s="60">
        <v>0</v>
      </c>
      <c r="I16" s="23" t="s">
        <v>43</v>
      </c>
      <c r="J16" s="61">
        <f>+IFERROR(K16/K10-1,0)</f>
        <v>0</v>
      </c>
      <c r="K16" s="25">
        <f>+-(U61+U60)</f>
        <v>0</v>
      </c>
      <c r="P16" s="34"/>
      <c r="T16" s="62" t="str">
        <f>+T132</f>
        <v>Adquisiciòn</v>
      </c>
      <c r="U16" s="63">
        <f>+SUM(V16:DB16)</f>
        <v>-822796</v>
      </c>
      <c r="V16" s="64">
        <f t="shared" ref="V16:CG16" si="9">+-V132*($E$114+$E$115)/$U$132</f>
        <v>0</v>
      </c>
      <c r="W16" s="64">
        <f t="shared" si="9"/>
        <v>0</v>
      </c>
      <c r="X16" s="64">
        <f t="shared" si="9"/>
        <v>-822796</v>
      </c>
      <c r="Y16" s="64">
        <f t="shared" si="9"/>
        <v>0</v>
      </c>
      <c r="Z16" s="64">
        <f t="shared" si="9"/>
        <v>0</v>
      </c>
      <c r="AA16" s="64">
        <f t="shared" si="9"/>
        <v>0</v>
      </c>
      <c r="AB16" s="64">
        <f t="shared" si="9"/>
        <v>0</v>
      </c>
      <c r="AC16" s="64">
        <f t="shared" si="9"/>
        <v>0</v>
      </c>
      <c r="AD16" s="64">
        <f t="shared" si="9"/>
        <v>0</v>
      </c>
      <c r="AE16" s="64">
        <f t="shared" si="9"/>
        <v>0</v>
      </c>
      <c r="AF16" s="64">
        <f t="shared" si="9"/>
        <v>0</v>
      </c>
      <c r="AG16" s="64">
        <f t="shared" si="9"/>
        <v>0</v>
      </c>
      <c r="AH16" s="64">
        <f t="shared" si="9"/>
        <v>0</v>
      </c>
      <c r="AI16" s="64">
        <f t="shared" si="9"/>
        <v>0</v>
      </c>
      <c r="AJ16" s="64">
        <f t="shared" si="9"/>
        <v>0</v>
      </c>
      <c r="AK16" s="64">
        <f t="shared" si="9"/>
        <v>0</v>
      </c>
      <c r="AL16" s="64">
        <f t="shared" si="9"/>
        <v>0</v>
      </c>
      <c r="AM16" s="64">
        <f t="shared" si="9"/>
        <v>0</v>
      </c>
      <c r="AN16" s="64">
        <f t="shared" si="9"/>
        <v>0</v>
      </c>
      <c r="AO16" s="64">
        <f t="shared" si="9"/>
        <v>0</v>
      </c>
      <c r="AP16" s="64">
        <f t="shared" si="9"/>
        <v>0</v>
      </c>
      <c r="AQ16" s="64">
        <f t="shared" si="9"/>
        <v>0</v>
      </c>
      <c r="AR16" s="64">
        <f t="shared" si="9"/>
        <v>0</v>
      </c>
      <c r="AS16" s="64">
        <f t="shared" si="9"/>
        <v>0</v>
      </c>
      <c r="AT16" s="64">
        <f t="shared" si="9"/>
        <v>0</v>
      </c>
      <c r="AU16" s="64">
        <f t="shared" si="9"/>
        <v>0</v>
      </c>
      <c r="AV16" s="64">
        <f t="shared" si="9"/>
        <v>0</v>
      </c>
      <c r="AW16" s="64">
        <f t="shared" si="9"/>
        <v>0</v>
      </c>
      <c r="AX16" s="64">
        <f t="shared" si="9"/>
        <v>0</v>
      </c>
      <c r="AY16" s="64">
        <f t="shared" si="9"/>
        <v>0</v>
      </c>
      <c r="AZ16" s="64">
        <f t="shared" si="9"/>
        <v>0</v>
      </c>
      <c r="BA16" s="64">
        <f t="shared" si="9"/>
        <v>0</v>
      </c>
      <c r="BB16" s="64">
        <f t="shared" si="9"/>
        <v>0</v>
      </c>
      <c r="BC16" s="64">
        <f t="shared" si="9"/>
        <v>0</v>
      </c>
      <c r="BD16" s="64">
        <f t="shared" si="9"/>
        <v>0</v>
      </c>
      <c r="BE16" s="64">
        <f t="shared" si="9"/>
        <v>0</v>
      </c>
      <c r="BF16" s="64">
        <f t="shared" si="9"/>
        <v>0</v>
      </c>
      <c r="BG16" s="64">
        <f t="shared" si="9"/>
        <v>0</v>
      </c>
      <c r="BH16" s="64">
        <f t="shared" si="9"/>
        <v>0</v>
      </c>
      <c r="BI16" s="64">
        <f t="shared" si="9"/>
        <v>0</v>
      </c>
      <c r="BJ16" s="64">
        <f t="shared" si="9"/>
        <v>0</v>
      </c>
      <c r="BK16" s="64">
        <f t="shared" si="9"/>
        <v>0</v>
      </c>
      <c r="BL16" s="64">
        <f t="shared" si="9"/>
        <v>0</v>
      </c>
      <c r="BM16" s="64">
        <f t="shared" si="9"/>
        <v>0</v>
      </c>
      <c r="BN16" s="64">
        <f t="shared" si="9"/>
        <v>0</v>
      </c>
      <c r="BO16" s="64">
        <f t="shared" si="9"/>
        <v>0</v>
      </c>
      <c r="BP16" s="64">
        <f t="shared" si="9"/>
        <v>0</v>
      </c>
      <c r="BQ16" s="64">
        <f t="shared" si="9"/>
        <v>0</v>
      </c>
      <c r="BR16" s="64">
        <f t="shared" si="9"/>
        <v>0</v>
      </c>
      <c r="BS16" s="64">
        <f t="shared" si="9"/>
        <v>0</v>
      </c>
      <c r="BT16" s="64">
        <f t="shared" si="9"/>
        <v>0</v>
      </c>
      <c r="BU16" s="64">
        <f t="shared" si="9"/>
        <v>0</v>
      </c>
      <c r="BV16" s="64">
        <f t="shared" si="9"/>
        <v>0</v>
      </c>
      <c r="BW16" s="64">
        <f t="shared" si="9"/>
        <v>0</v>
      </c>
      <c r="BX16" s="64">
        <f t="shared" si="9"/>
        <v>0</v>
      </c>
      <c r="BY16" s="64">
        <f t="shared" si="9"/>
        <v>0</v>
      </c>
      <c r="BZ16" s="64">
        <f t="shared" si="9"/>
        <v>0</v>
      </c>
      <c r="CA16" s="64">
        <f t="shared" si="9"/>
        <v>0</v>
      </c>
      <c r="CB16" s="64">
        <f t="shared" si="9"/>
        <v>0</v>
      </c>
      <c r="CC16" s="64">
        <f t="shared" si="9"/>
        <v>0</v>
      </c>
      <c r="CD16" s="64">
        <f t="shared" si="9"/>
        <v>0</v>
      </c>
      <c r="CE16" s="64">
        <f t="shared" si="9"/>
        <v>0</v>
      </c>
      <c r="CF16" s="64">
        <f t="shared" si="9"/>
        <v>0</v>
      </c>
      <c r="CG16" s="64">
        <f t="shared" si="9"/>
        <v>0</v>
      </c>
      <c r="CH16" s="64">
        <f t="shared" ref="CH16:DB16" si="10">+-CH132*($E$114+$E$115)/$U$132</f>
        <v>0</v>
      </c>
      <c r="CI16" s="64">
        <f t="shared" si="10"/>
        <v>0</v>
      </c>
      <c r="CJ16" s="64">
        <f t="shared" si="10"/>
        <v>0</v>
      </c>
      <c r="CK16" s="64">
        <f t="shared" si="10"/>
        <v>0</v>
      </c>
      <c r="CL16" s="64">
        <f t="shared" si="10"/>
        <v>0</v>
      </c>
      <c r="CM16" s="64">
        <f t="shared" si="10"/>
        <v>0</v>
      </c>
      <c r="CN16" s="64">
        <f t="shared" si="10"/>
        <v>0</v>
      </c>
      <c r="CO16" s="64">
        <f t="shared" si="10"/>
        <v>0</v>
      </c>
      <c r="CP16" s="64">
        <f t="shared" si="10"/>
        <v>0</v>
      </c>
      <c r="CQ16" s="64">
        <f t="shared" si="10"/>
        <v>0</v>
      </c>
      <c r="CR16" s="64">
        <f t="shared" si="10"/>
        <v>0</v>
      </c>
      <c r="CS16" s="64">
        <f t="shared" si="10"/>
        <v>0</v>
      </c>
      <c r="CT16" s="64">
        <f t="shared" si="10"/>
        <v>0</v>
      </c>
      <c r="CU16" s="64">
        <f t="shared" si="10"/>
        <v>0</v>
      </c>
      <c r="CV16" s="64">
        <f t="shared" si="10"/>
        <v>0</v>
      </c>
      <c r="CW16" s="64">
        <f t="shared" si="10"/>
        <v>0</v>
      </c>
      <c r="CX16" s="64">
        <f t="shared" si="10"/>
        <v>0</v>
      </c>
      <c r="CY16" s="64">
        <f t="shared" si="10"/>
        <v>0</v>
      </c>
      <c r="CZ16" s="64">
        <f t="shared" si="10"/>
        <v>0</v>
      </c>
      <c r="DA16" s="64">
        <f t="shared" si="10"/>
        <v>0</v>
      </c>
      <c r="DB16" s="64">
        <f t="shared" si="10"/>
        <v>0</v>
      </c>
      <c r="DC16" s="21" t="s">
        <v>11</v>
      </c>
    </row>
    <row r="17" spans="2:107">
      <c r="B17" s="57" t="s">
        <v>44</v>
      </c>
      <c r="D17" s="60">
        <v>0</v>
      </c>
      <c r="E17" s="60">
        <v>0</v>
      </c>
      <c r="F17" s="65"/>
      <c r="I17" s="9" t="s">
        <v>45</v>
      </c>
      <c r="J17" s="66">
        <v>1.4999999999999999E-2</v>
      </c>
      <c r="K17" s="25">
        <f>+J17*$K$10</f>
        <v>0</v>
      </c>
      <c r="O17" s="67"/>
      <c r="T17" s="68" t="s">
        <v>46</v>
      </c>
      <c r="U17" s="69">
        <f>+SUM(V17:DB17)</f>
        <v>-862046</v>
      </c>
      <c r="V17" s="70">
        <f>+SUM(V15:V16)</f>
        <v>0</v>
      </c>
      <c r="W17" s="70">
        <f t="shared" ref="W17:CH17" si="11">+SUM(W15:W16)</f>
        <v>-39250</v>
      </c>
      <c r="X17" s="70">
        <f t="shared" si="11"/>
        <v>-822796</v>
      </c>
      <c r="Y17" s="70">
        <f t="shared" si="11"/>
        <v>0</v>
      </c>
      <c r="Z17" s="70">
        <f t="shared" si="11"/>
        <v>0</v>
      </c>
      <c r="AA17" s="70">
        <f t="shared" si="11"/>
        <v>0</v>
      </c>
      <c r="AB17" s="70">
        <f t="shared" si="11"/>
        <v>0</v>
      </c>
      <c r="AC17" s="70">
        <f t="shared" si="11"/>
        <v>0</v>
      </c>
      <c r="AD17" s="70">
        <f t="shared" si="11"/>
        <v>0</v>
      </c>
      <c r="AE17" s="70">
        <f t="shared" si="11"/>
        <v>0</v>
      </c>
      <c r="AF17" s="70">
        <f t="shared" si="11"/>
        <v>0</v>
      </c>
      <c r="AG17" s="70">
        <f t="shared" si="11"/>
        <v>0</v>
      </c>
      <c r="AH17" s="70">
        <f t="shared" si="11"/>
        <v>0</v>
      </c>
      <c r="AI17" s="70">
        <f t="shared" si="11"/>
        <v>0</v>
      </c>
      <c r="AJ17" s="70">
        <f t="shared" si="11"/>
        <v>0</v>
      </c>
      <c r="AK17" s="70">
        <f t="shared" si="11"/>
        <v>0</v>
      </c>
      <c r="AL17" s="70">
        <f t="shared" si="11"/>
        <v>0</v>
      </c>
      <c r="AM17" s="70">
        <f t="shared" si="11"/>
        <v>0</v>
      </c>
      <c r="AN17" s="70">
        <f t="shared" si="11"/>
        <v>0</v>
      </c>
      <c r="AO17" s="70">
        <f t="shared" si="11"/>
        <v>0</v>
      </c>
      <c r="AP17" s="70">
        <f t="shared" si="11"/>
        <v>0</v>
      </c>
      <c r="AQ17" s="70">
        <f t="shared" si="11"/>
        <v>0</v>
      </c>
      <c r="AR17" s="70">
        <f t="shared" si="11"/>
        <v>0</v>
      </c>
      <c r="AS17" s="70">
        <f t="shared" si="11"/>
        <v>0</v>
      </c>
      <c r="AT17" s="70">
        <f t="shared" si="11"/>
        <v>0</v>
      </c>
      <c r="AU17" s="70">
        <f t="shared" si="11"/>
        <v>0</v>
      </c>
      <c r="AV17" s="70">
        <f t="shared" si="11"/>
        <v>0</v>
      </c>
      <c r="AW17" s="70">
        <f t="shared" si="11"/>
        <v>0</v>
      </c>
      <c r="AX17" s="70">
        <f t="shared" si="11"/>
        <v>0</v>
      </c>
      <c r="AY17" s="70">
        <f t="shared" si="11"/>
        <v>0</v>
      </c>
      <c r="AZ17" s="70">
        <f t="shared" si="11"/>
        <v>0</v>
      </c>
      <c r="BA17" s="70">
        <f t="shared" si="11"/>
        <v>0</v>
      </c>
      <c r="BB17" s="70">
        <f t="shared" si="11"/>
        <v>0</v>
      </c>
      <c r="BC17" s="70">
        <f t="shared" si="11"/>
        <v>0</v>
      </c>
      <c r="BD17" s="70">
        <f t="shared" si="11"/>
        <v>0</v>
      </c>
      <c r="BE17" s="70">
        <f t="shared" si="11"/>
        <v>0</v>
      </c>
      <c r="BF17" s="70">
        <f t="shared" si="11"/>
        <v>0</v>
      </c>
      <c r="BG17" s="70">
        <f t="shared" si="11"/>
        <v>0</v>
      </c>
      <c r="BH17" s="70">
        <f t="shared" si="11"/>
        <v>0</v>
      </c>
      <c r="BI17" s="70">
        <f t="shared" si="11"/>
        <v>0</v>
      </c>
      <c r="BJ17" s="70">
        <f t="shared" si="11"/>
        <v>0</v>
      </c>
      <c r="BK17" s="70">
        <f t="shared" si="11"/>
        <v>0</v>
      </c>
      <c r="BL17" s="70">
        <f t="shared" si="11"/>
        <v>0</v>
      </c>
      <c r="BM17" s="70">
        <f t="shared" si="11"/>
        <v>0</v>
      </c>
      <c r="BN17" s="70">
        <f t="shared" si="11"/>
        <v>0</v>
      </c>
      <c r="BO17" s="70">
        <f t="shared" si="11"/>
        <v>0</v>
      </c>
      <c r="BP17" s="70">
        <f t="shared" si="11"/>
        <v>0</v>
      </c>
      <c r="BQ17" s="70">
        <f t="shared" si="11"/>
        <v>0</v>
      </c>
      <c r="BR17" s="70">
        <f t="shared" si="11"/>
        <v>0</v>
      </c>
      <c r="BS17" s="70">
        <f t="shared" si="11"/>
        <v>0</v>
      </c>
      <c r="BT17" s="70">
        <f t="shared" si="11"/>
        <v>0</v>
      </c>
      <c r="BU17" s="70">
        <f t="shared" si="11"/>
        <v>0</v>
      </c>
      <c r="BV17" s="70">
        <f t="shared" si="11"/>
        <v>0</v>
      </c>
      <c r="BW17" s="70">
        <f t="shared" si="11"/>
        <v>0</v>
      </c>
      <c r="BX17" s="70">
        <f t="shared" si="11"/>
        <v>0</v>
      </c>
      <c r="BY17" s="70">
        <f t="shared" si="11"/>
        <v>0</v>
      </c>
      <c r="BZ17" s="70">
        <f t="shared" si="11"/>
        <v>0</v>
      </c>
      <c r="CA17" s="70">
        <f t="shared" si="11"/>
        <v>0</v>
      </c>
      <c r="CB17" s="70">
        <f t="shared" si="11"/>
        <v>0</v>
      </c>
      <c r="CC17" s="70">
        <f t="shared" si="11"/>
        <v>0</v>
      </c>
      <c r="CD17" s="70">
        <f t="shared" si="11"/>
        <v>0</v>
      </c>
      <c r="CE17" s="70">
        <f t="shared" si="11"/>
        <v>0</v>
      </c>
      <c r="CF17" s="70">
        <f t="shared" si="11"/>
        <v>0</v>
      </c>
      <c r="CG17" s="70">
        <f t="shared" si="11"/>
        <v>0</v>
      </c>
      <c r="CH17" s="70">
        <f t="shared" si="11"/>
        <v>0</v>
      </c>
      <c r="CI17" s="70">
        <f t="shared" ref="CI17:DB17" si="12">+SUM(CI15:CI16)</f>
        <v>0</v>
      </c>
      <c r="CJ17" s="70">
        <f t="shared" si="12"/>
        <v>0</v>
      </c>
      <c r="CK17" s="70">
        <f t="shared" si="12"/>
        <v>0</v>
      </c>
      <c r="CL17" s="70">
        <f t="shared" si="12"/>
        <v>0</v>
      </c>
      <c r="CM17" s="70">
        <f t="shared" si="12"/>
        <v>0</v>
      </c>
      <c r="CN17" s="70">
        <f t="shared" si="12"/>
        <v>0</v>
      </c>
      <c r="CO17" s="70">
        <f t="shared" si="12"/>
        <v>0</v>
      </c>
      <c r="CP17" s="70">
        <f t="shared" si="12"/>
        <v>0</v>
      </c>
      <c r="CQ17" s="70">
        <f t="shared" si="12"/>
        <v>0</v>
      </c>
      <c r="CR17" s="70">
        <f t="shared" si="12"/>
        <v>0</v>
      </c>
      <c r="CS17" s="70">
        <f t="shared" si="12"/>
        <v>0</v>
      </c>
      <c r="CT17" s="70">
        <f t="shared" si="12"/>
        <v>0</v>
      </c>
      <c r="CU17" s="70">
        <f t="shared" si="12"/>
        <v>0</v>
      </c>
      <c r="CV17" s="70">
        <f t="shared" si="12"/>
        <v>0</v>
      </c>
      <c r="CW17" s="70">
        <f t="shared" si="12"/>
        <v>0</v>
      </c>
      <c r="CX17" s="70">
        <f t="shared" si="12"/>
        <v>0</v>
      </c>
      <c r="CY17" s="70">
        <f t="shared" si="12"/>
        <v>0</v>
      </c>
      <c r="CZ17" s="70">
        <f t="shared" si="12"/>
        <v>0</v>
      </c>
      <c r="DA17" s="70">
        <f t="shared" si="12"/>
        <v>0</v>
      </c>
      <c r="DB17" s="70">
        <f t="shared" si="12"/>
        <v>0</v>
      </c>
      <c r="DC17" s="21" t="s">
        <v>11</v>
      </c>
    </row>
    <row r="18" spans="2:107">
      <c r="B18" s="57" t="s">
        <v>47</v>
      </c>
      <c r="D18" s="60">
        <f>3.11*2.31</f>
        <v>7.1840999999999999</v>
      </c>
      <c r="E18" s="60">
        <v>0</v>
      </c>
      <c r="F18" s="65"/>
      <c r="I18" s="71" t="s">
        <v>48</v>
      </c>
      <c r="J18" s="18"/>
      <c r="K18" s="18"/>
      <c r="L18" s="18"/>
      <c r="M18" s="18"/>
      <c r="N18" s="18"/>
      <c r="O18" s="18"/>
      <c r="P18" s="18"/>
      <c r="U18" s="58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  <c r="BC18" s="59"/>
      <c r="BD18" s="59"/>
      <c r="BE18" s="59"/>
      <c r="BF18" s="59"/>
      <c r="BG18" s="59"/>
      <c r="BH18" s="59"/>
      <c r="BI18" s="59"/>
      <c r="BJ18" s="59"/>
      <c r="BK18" s="59"/>
      <c r="BL18" s="59"/>
      <c r="BM18" s="59"/>
      <c r="BN18" s="59"/>
      <c r="BO18" s="59"/>
      <c r="BP18" s="59"/>
      <c r="BQ18" s="59"/>
      <c r="BR18" s="59"/>
      <c r="BS18" s="59"/>
      <c r="BT18" s="59"/>
      <c r="BU18" s="59"/>
      <c r="BV18" s="59"/>
      <c r="BW18" s="59"/>
      <c r="BX18" s="59"/>
      <c r="BY18" s="59"/>
      <c r="BZ18" s="59"/>
      <c r="CA18" s="59"/>
      <c r="CB18" s="59"/>
      <c r="CC18" s="59"/>
      <c r="CD18" s="59"/>
      <c r="CE18" s="59"/>
      <c r="CF18" s="59"/>
      <c r="CG18" s="59"/>
      <c r="CH18" s="59"/>
      <c r="CI18" s="59"/>
      <c r="CJ18" s="59"/>
      <c r="CK18" s="59"/>
      <c r="CL18" s="59"/>
      <c r="CM18" s="59"/>
      <c r="CN18" s="59"/>
      <c r="CO18" s="59"/>
      <c r="CP18" s="59"/>
      <c r="CQ18" s="59"/>
      <c r="CR18" s="59"/>
      <c r="CS18" s="59"/>
      <c r="CT18" s="59"/>
      <c r="CU18" s="59"/>
      <c r="CV18" s="59"/>
      <c r="CW18" s="59"/>
      <c r="CX18" s="59"/>
      <c r="CY18" s="59"/>
      <c r="CZ18" s="59"/>
      <c r="DA18" s="59"/>
      <c r="DB18" s="59"/>
      <c r="DC18" s="21" t="s">
        <v>11</v>
      </c>
    </row>
    <row r="19" spans="2:107">
      <c r="B19" s="57" t="s">
        <v>49</v>
      </c>
      <c r="D19" s="25">
        <v>0</v>
      </c>
      <c r="E19" s="25">
        <v>0</v>
      </c>
      <c r="F19" s="65"/>
      <c r="M19" s="22" t="s">
        <v>50</v>
      </c>
      <c r="N19" s="22" t="s">
        <v>51</v>
      </c>
      <c r="O19" s="22" t="s">
        <v>52</v>
      </c>
      <c r="P19" s="22" t="s">
        <v>53</v>
      </c>
      <c r="Q19" s="53"/>
      <c r="T19" s="9" t="s">
        <v>54</v>
      </c>
      <c r="U19" s="58">
        <f>+SUM(V19:DB19)</f>
        <v>-1400</v>
      </c>
      <c r="V19" s="59">
        <f>+-$D$44*V$154</f>
        <v>0</v>
      </c>
      <c r="W19" s="59">
        <f t="shared" ref="W19:CH19" si="13">+-$D$44*W$154</f>
        <v>0</v>
      </c>
      <c r="X19" s="59">
        <f t="shared" si="13"/>
        <v>-200</v>
      </c>
      <c r="Y19" s="59">
        <f>+-$D$44*Y$154</f>
        <v>-200</v>
      </c>
      <c r="Z19" s="59">
        <f t="shared" si="13"/>
        <v>-200</v>
      </c>
      <c r="AA19" s="59">
        <f t="shared" si="13"/>
        <v>-200</v>
      </c>
      <c r="AB19" s="59">
        <f t="shared" si="13"/>
        <v>-200</v>
      </c>
      <c r="AC19" s="59">
        <f t="shared" si="13"/>
        <v>-200</v>
      </c>
      <c r="AD19" s="59">
        <f t="shared" si="13"/>
        <v>-200</v>
      </c>
      <c r="AE19" s="59">
        <f t="shared" si="13"/>
        <v>0</v>
      </c>
      <c r="AF19" s="59">
        <f t="shared" si="13"/>
        <v>0</v>
      </c>
      <c r="AG19" s="59">
        <f t="shared" si="13"/>
        <v>0</v>
      </c>
      <c r="AH19" s="59">
        <f t="shared" si="13"/>
        <v>0</v>
      </c>
      <c r="AI19" s="59">
        <f t="shared" si="13"/>
        <v>0</v>
      </c>
      <c r="AJ19" s="59">
        <f t="shared" si="13"/>
        <v>0</v>
      </c>
      <c r="AK19" s="59">
        <f t="shared" si="13"/>
        <v>0</v>
      </c>
      <c r="AL19" s="59">
        <f t="shared" si="13"/>
        <v>0</v>
      </c>
      <c r="AM19" s="59">
        <f t="shared" si="13"/>
        <v>0</v>
      </c>
      <c r="AN19" s="59">
        <f t="shared" si="13"/>
        <v>0</v>
      </c>
      <c r="AO19" s="59">
        <f t="shared" si="13"/>
        <v>0</v>
      </c>
      <c r="AP19" s="59">
        <f t="shared" si="13"/>
        <v>0</v>
      </c>
      <c r="AQ19" s="59">
        <f t="shared" si="13"/>
        <v>0</v>
      </c>
      <c r="AR19" s="59">
        <f t="shared" si="13"/>
        <v>0</v>
      </c>
      <c r="AS19" s="59">
        <f t="shared" si="13"/>
        <v>0</v>
      </c>
      <c r="AT19" s="59">
        <f t="shared" si="13"/>
        <v>0</v>
      </c>
      <c r="AU19" s="59">
        <f t="shared" si="13"/>
        <v>0</v>
      </c>
      <c r="AV19" s="59">
        <f t="shared" si="13"/>
        <v>0</v>
      </c>
      <c r="AW19" s="59">
        <f t="shared" si="13"/>
        <v>0</v>
      </c>
      <c r="AX19" s="59">
        <f t="shared" si="13"/>
        <v>0</v>
      </c>
      <c r="AY19" s="59">
        <f t="shared" si="13"/>
        <v>0</v>
      </c>
      <c r="AZ19" s="59">
        <f t="shared" si="13"/>
        <v>0</v>
      </c>
      <c r="BA19" s="59">
        <f t="shared" si="13"/>
        <v>0</v>
      </c>
      <c r="BB19" s="59">
        <f t="shared" si="13"/>
        <v>0</v>
      </c>
      <c r="BC19" s="59">
        <f t="shared" si="13"/>
        <v>0</v>
      </c>
      <c r="BD19" s="59">
        <f t="shared" si="13"/>
        <v>0</v>
      </c>
      <c r="BE19" s="59">
        <f t="shared" si="13"/>
        <v>0</v>
      </c>
      <c r="BF19" s="59">
        <f t="shared" si="13"/>
        <v>0</v>
      </c>
      <c r="BG19" s="59">
        <f t="shared" si="13"/>
        <v>0</v>
      </c>
      <c r="BH19" s="59">
        <f t="shared" si="13"/>
        <v>0</v>
      </c>
      <c r="BI19" s="59">
        <f t="shared" si="13"/>
        <v>0</v>
      </c>
      <c r="BJ19" s="59">
        <f t="shared" si="13"/>
        <v>0</v>
      </c>
      <c r="BK19" s="59">
        <f t="shared" si="13"/>
        <v>0</v>
      </c>
      <c r="BL19" s="59">
        <f t="shared" si="13"/>
        <v>0</v>
      </c>
      <c r="BM19" s="59">
        <f t="shared" si="13"/>
        <v>0</v>
      </c>
      <c r="BN19" s="59">
        <f t="shared" si="13"/>
        <v>0</v>
      </c>
      <c r="BO19" s="59">
        <f t="shared" si="13"/>
        <v>0</v>
      </c>
      <c r="BP19" s="59">
        <f t="shared" si="13"/>
        <v>0</v>
      </c>
      <c r="BQ19" s="59">
        <f t="shared" si="13"/>
        <v>0</v>
      </c>
      <c r="BR19" s="59">
        <f t="shared" si="13"/>
        <v>0</v>
      </c>
      <c r="BS19" s="59">
        <f t="shared" si="13"/>
        <v>0</v>
      </c>
      <c r="BT19" s="59">
        <f t="shared" si="13"/>
        <v>0</v>
      </c>
      <c r="BU19" s="59">
        <f t="shared" si="13"/>
        <v>0</v>
      </c>
      <c r="BV19" s="59">
        <f t="shared" si="13"/>
        <v>0</v>
      </c>
      <c r="BW19" s="59">
        <f t="shared" si="13"/>
        <v>0</v>
      </c>
      <c r="BX19" s="59">
        <f t="shared" si="13"/>
        <v>0</v>
      </c>
      <c r="BY19" s="59">
        <f t="shared" si="13"/>
        <v>0</v>
      </c>
      <c r="BZ19" s="59">
        <f t="shared" si="13"/>
        <v>0</v>
      </c>
      <c r="CA19" s="59">
        <f t="shared" si="13"/>
        <v>0</v>
      </c>
      <c r="CB19" s="59">
        <f t="shared" si="13"/>
        <v>0</v>
      </c>
      <c r="CC19" s="59">
        <f t="shared" si="13"/>
        <v>0</v>
      </c>
      <c r="CD19" s="59">
        <f t="shared" si="13"/>
        <v>0</v>
      </c>
      <c r="CE19" s="59">
        <f t="shared" si="13"/>
        <v>0</v>
      </c>
      <c r="CF19" s="59">
        <f t="shared" si="13"/>
        <v>0</v>
      </c>
      <c r="CG19" s="59">
        <f t="shared" si="13"/>
        <v>0</v>
      </c>
      <c r="CH19" s="59">
        <f t="shared" si="13"/>
        <v>0</v>
      </c>
      <c r="CI19" s="59">
        <f t="shared" ref="CI19:DB19" si="14">+-$D$44*CI$154</f>
        <v>0</v>
      </c>
      <c r="CJ19" s="59">
        <f t="shared" si="14"/>
        <v>0</v>
      </c>
      <c r="CK19" s="59">
        <f t="shared" si="14"/>
        <v>0</v>
      </c>
      <c r="CL19" s="59">
        <f t="shared" si="14"/>
        <v>0</v>
      </c>
      <c r="CM19" s="59">
        <f t="shared" si="14"/>
        <v>0</v>
      </c>
      <c r="CN19" s="59">
        <f t="shared" si="14"/>
        <v>0</v>
      </c>
      <c r="CO19" s="59">
        <f t="shared" si="14"/>
        <v>0</v>
      </c>
      <c r="CP19" s="59">
        <f t="shared" si="14"/>
        <v>0</v>
      </c>
      <c r="CQ19" s="59">
        <f t="shared" si="14"/>
        <v>0</v>
      </c>
      <c r="CR19" s="59">
        <f t="shared" si="14"/>
        <v>0</v>
      </c>
      <c r="CS19" s="59">
        <f t="shared" si="14"/>
        <v>0</v>
      </c>
      <c r="CT19" s="59">
        <f t="shared" si="14"/>
        <v>0</v>
      </c>
      <c r="CU19" s="59">
        <f t="shared" si="14"/>
        <v>0</v>
      </c>
      <c r="CV19" s="59">
        <f t="shared" si="14"/>
        <v>0</v>
      </c>
      <c r="CW19" s="59">
        <f t="shared" si="14"/>
        <v>0</v>
      </c>
      <c r="CX19" s="59">
        <f t="shared" si="14"/>
        <v>0</v>
      </c>
      <c r="CY19" s="59">
        <f t="shared" si="14"/>
        <v>0</v>
      </c>
      <c r="CZ19" s="59">
        <f t="shared" si="14"/>
        <v>0</v>
      </c>
      <c r="DA19" s="59">
        <f t="shared" si="14"/>
        <v>0</v>
      </c>
      <c r="DB19" s="59">
        <f t="shared" si="14"/>
        <v>0</v>
      </c>
      <c r="DC19" s="21" t="s">
        <v>11</v>
      </c>
    </row>
    <row r="20" spans="2:107">
      <c r="B20" s="72" t="s">
        <v>55</v>
      </c>
      <c r="D20" s="73">
        <v>0</v>
      </c>
      <c r="E20" s="73">
        <v>0</v>
      </c>
      <c r="F20" s="74"/>
      <c r="G20" s="74"/>
      <c r="I20" s="57" t="s">
        <v>56</v>
      </c>
      <c r="O20" s="75">
        <v>9350</v>
      </c>
      <c r="P20" s="25">
        <f>+O20*D22</f>
        <v>1196800</v>
      </c>
      <c r="Q20" s="25"/>
      <c r="T20" s="9" t="s">
        <v>57</v>
      </c>
      <c r="U20" s="58">
        <f t="shared" ref="U20:U21" si="15">+SUM(V20:DB20)</f>
        <v>-554.16666666666674</v>
      </c>
      <c r="V20" s="59">
        <f>+-$D$46*V$154</f>
        <v>0</v>
      </c>
      <c r="W20" s="59">
        <f t="shared" ref="W20:CH20" si="16">+-$D$46*W$154</f>
        <v>0</v>
      </c>
      <c r="X20" s="59">
        <f t="shared" si="16"/>
        <v>-79.166666666666671</v>
      </c>
      <c r="Y20" s="59">
        <f t="shared" si="16"/>
        <v>-79.166666666666671</v>
      </c>
      <c r="Z20" s="59">
        <f t="shared" si="16"/>
        <v>-79.166666666666671</v>
      </c>
      <c r="AA20" s="59">
        <f t="shared" si="16"/>
        <v>-79.166666666666671</v>
      </c>
      <c r="AB20" s="59">
        <f t="shared" si="16"/>
        <v>-79.166666666666671</v>
      </c>
      <c r="AC20" s="59">
        <f t="shared" si="16"/>
        <v>-79.166666666666671</v>
      </c>
      <c r="AD20" s="59">
        <f t="shared" si="16"/>
        <v>-79.166666666666671</v>
      </c>
      <c r="AE20" s="59">
        <f t="shared" si="16"/>
        <v>0</v>
      </c>
      <c r="AF20" s="59">
        <f t="shared" si="16"/>
        <v>0</v>
      </c>
      <c r="AG20" s="59">
        <f t="shared" si="16"/>
        <v>0</v>
      </c>
      <c r="AH20" s="59">
        <f t="shared" si="16"/>
        <v>0</v>
      </c>
      <c r="AI20" s="59">
        <f t="shared" si="16"/>
        <v>0</v>
      </c>
      <c r="AJ20" s="59">
        <f t="shared" si="16"/>
        <v>0</v>
      </c>
      <c r="AK20" s="59">
        <f t="shared" si="16"/>
        <v>0</v>
      </c>
      <c r="AL20" s="59">
        <f t="shared" si="16"/>
        <v>0</v>
      </c>
      <c r="AM20" s="59">
        <f t="shared" si="16"/>
        <v>0</v>
      </c>
      <c r="AN20" s="59">
        <f t="shared" si="16"/>
        <v>0</v>
      </c>
      <c r="AO20" s="59">
        <f t="shared" si="16"/>
        <v>0</v>
      </c>
      <c r="AP20" s="59">
        <f t="shared" si="16"/>
        <v>0</v>
      </c>
      <c r="AQ20" s="59">
        <f t="shared" si="16"/>
        <v>0</v>
      </c>
      <c r="AR20" s="59">
        <f t="shared" si="16"/>
        <v>0</v>
      </c>
      <c r="AS20" s="59">
        <f t="shared" si="16"/>
        <v>0</v>
      </c>
      <c r="AT20" s="59">
        <f t="shared" si="16"/>
        <v>0</v>
      </c>
      <c r="AU20" s="59">
        <f t="shared" si="16"/>
        <v>0</v>
      </c>
      <c r="AV20" s="59">
        <f t="shared" si="16"/>
        <v>0</v>
      </c>
      <c r="AW20" s="59">
        <f t="shared" si="16"/>
        <v>0</v>
      </c>
      <c r="AX20" s="59">
        <f t="shared" si="16"/>
        <v>0</v>
      </c>
      <c r="AY20" s="59">
        <f t="shared" si="16"/>
        <v>0</v>
      </c>
      <c r="AZ20" s="59">
        <f t="shared" si="16"/>
        <v>0</v>
      </c>
      <c r="BA20" s="59">
        <f t="shared" si="16"/>
        <v>0</v>
      </c>
      <c r="BB20" s="59">
        <f t="shared" si="16"/>
        <v>0</v>
      </c>
      <c r="BC20" s="59">
        <f t="shared" si="16"/>
        <v>0</v>
      </c>
      <c r="BD20" s="59">
        <f t="shared" si="16"/>
        <v>0</v>
      </c>
      <c r="BE20" s="59">
        <f t="shared" si="16"/>
        <v>0</v>
      </c>
      <c r="BF20" s="59">
        <f t="shared" si="16"/>
        <v>0</v>
      </c>
      <c r="BG20" s="59">
        <f t="shared" si="16"/>
        <v>0</v>
      </c>
      <c r="BH20" s="59">
        <f t="shared" si="16"/>
        <v>0</v>
      </c>
      <c r="BI20" s="59">
        <f t="shared" si="16"/>
        <v>0</v>
      </c>
      <c r="BJ20" s="59">
        <f t="shared" si="16"/>
        <v>0</v>
      </c>
      <c r="BK20" s="59">
        <f t="shared" si="16"/>
        <v>0</v>
      </c>
      <c r="BL20" s="59">
        <f t="shared" si="16"/>
        <v>0</v>
      </c>
      <c r="BM20" s="59">
        <f t="shared" si="16"/>
        <v>0</v>
      </c>
      <c r="BN20" s="59">
        <f t="shared" si="16"/>
        <v>0</v>
      </c>
      <c r="BO20" s="59">
        <f t="shared" si="16"/>
        <v>0</v>
      </c>
      <c r="BP20" s="59">
        <f t="shared" si="16"/>
        <v>0</v>
      </c>
      <c r="BQ20" s="59">
        <f t="shared" si="16"/>
        <v>0</v>
      </c>
      <c r="BR20" s="59">
        <f t="shared" si="16"/>
        <v>0</v>
      </c>
      <c r="BS20" s="59">
        <f t="shared" si="16"/>
        <v>0</v>
      </c>
      <c r="BT20" s="59">
        <f t="shared" si="16"/>
        <v>0</v>
      </c>
      <c r="BU20" s="59">
        <f t="shared" si="16"/>
        <v>0</v>
      </c>
      <c r="BV20" s="59">
        <f t="shared" si="16"/>
        <v>0</v>
      </c>
      <c r="BW20" s="59">
        <f t="shared" si="16"/>
        <v>0</v>
      </c>
      <c r="BX20" s="59">
        <f t="shared" si="16"/>
        <v>0</v>
      </c>
      <c r="BY20" s="59">
        <f t="shared" si="16"/>
        <v>0</v>
      </c>
      <c r="BZ20" s="59">
        <f t="shared" si="16"/>
        <v>0</v>
      </c>
      <c r="CA20" s="59">
        <f t="shared" si="16"/>
        <v>0</v>
      </c>
      <c r="CB20" s="59">
        <f t="shared" si="16"/>
        <v>0</v>
      </c>
      <c r="CC20" s="59">
        <f t="shared" si="16"/>
        <v>0</v>
      </c>
      <c r="CD20" s="59">
        <f t="shared" si="16"/>
        <v>0</v>
      </c>
      <c r="CE20" s="59">
        <f t="shared" si="16"/>
        <v>0</v>
      </c>
      <c r="CF20" s="59">
        <f t="shared" si="16"/>
        <v>0</v>
      </c>
      <c r="CG20" s="59">
        <f t="shared" si="16"/>
        <v>0</v>
      </c>
      <c r="CH20" s="59">
        <f t="shared" si="16"/>
        <v>0</v>
      </c>
      <c r="CI20" s="59">
        <f t="shared" ref="CI20:DB20" si="17">+-$D$46*CI$154</f>
        <v>0</v>
      </c>
      <c r="CJ20" s="59">
        <f t="shared" si="17"/>
        <v>0</v>
      </c>
      <c r="CK20" s="59">
        <f t="shared" si="17"/>
        <v>0</v>
      </c>
      <c r="CL20" s="59">
        <f t="shared" si="17"/>
        <v>0</v>
      </c>
      <c r="CM20" s="59">
        <f t="shared" si="17"/>
        <v>0</v>
      </c>
      <c r="CN20" s="59">
        <f t="shared" si="17"/>
        <v>0</v>
      </c>
      <c r="CO20" s="59">
        <f t="shared" si="17"/>
        <v>0</v>
      </c>
      <c r="CP20" s="59">
        <f t="shared" si="17"/>
        <v>0</v>
      </c>
      <c r="CQ20" s="59">
        <f t="shared" si="17"/>
        <v>0</v>
      </c>
      <c r="CR20" s="59">
        <f t="shared" si="17"/>
        <v>0</v>
      </c>
      <c r="CS20" s="59">
        <f t="shared" si="17"/>
        <v>0</v>
      </c>
      <c r="CT20" s="59">
        <f t="shared" si="17"/>
        <v>0</v>
      </c>
      <c r="CU20" s="59">
        <f t="shared" si="17"/>
        <v>0</v>
      </c>
      <c r="CV20" s="59">
        <f t="shared" si="17"/>
        <v>0</v>
      </c>
      <c r="CW20" s="59">
        <f t="shared" si="17"/>
        <v>0</v>
      </c>
      <c r="CX20" s="59">
        <f t="shared" si="17"/>
        <v>0</v>
      </c>
      <c r="CY20" s="59">
        <f t="shared" si="17"/>
        <v>0</v>
      </c>
      <c r="CZ20" s="59">
        <f t="shared" si="17"/>
        <v>0</v>
      </c>
      <c r="DA20" s="59">
        <f t="shared" si="17"/>
        <v>0</v>
      </c>
      <c r="DB20" s="59">
        <f t="shared" si="17"/>
        <v>0</v>
      </c>
      <c r="DC20" s="21" t="s">
        <v>11</v>
      </c>
    </row>
    <row r="21" spans="2:107">
      <c r="B21" s="76" t="s">
        <v>58</v>
      </c>
      <c r="C21" s="76"/>
      <c r="D21" s="77">
        <f>+D22-SUM(D16:D20)</f>
        <v>120.8159</v>
      </c>
      <c r="E21" s="77">
        <f>+E22-SUM(E16:E20)</f>
        <v>112</v>
      </c>
      <c r="F21" s="78"/>
      <c r="G21" s="78"/>
      <c r="I21" s="62" t="s">
        <v>59</v>
      </c>
      <c r="J21" s="31"/>
      <c r="K21" s="31"/>
      <c r="L21" s="31"/>
      <c r="M21" s="79">
        <f>3%*(1.21)</f>
        <v>3.6299999999999999E-2</v>
      </c>
      <c r="N21" s="79"/>
      <c r="O21" s="80">
        <f>+P21/D22</f>
        <v>-339.40499999999997</v>
      </c>
      <c r="P21" s="25">
        <f>+-M21*P20</f>
        <v>-43443.839999999997</v>
      </c>
      <c r="Q21" s="25"/>
      <c r="T21" s="9" t="s">
        <v>60</v>
      </c>
      <c r="U21" s="58">
        <f t="shared" si="15"/>
        <v>-500</v>
      </c>
      <c r="V21" s="59">
        <f>+-$E$45*V132</f>
        <v>0</v>
      </c>
      <c r="W21" s="59">
        <f t="shared" ref="W21:CH21" si="18">+-$E$45*W132</f>
        <v>0</v>
      </c>
      <c r="X21" s="59">
        <f t="shared" si="18"/>
        <v>-500</v>
      </c>
      <c r="Y21" s="59">
        <f t="shared" si="18"/>
        <v>0</v>
      </c>
      <c r="Z21" s="59">
        <f t="shared" si="18"/>
        <v>0</v>
      </c>
      <c r="AA21" s="59">
        <f t="shared" si="18"/>
        <v>0</v>
      </c>
      <c r="AB21" s="59">
        <f t="shared" si="18"/>
        <v>0</v>
      </c>
      <c r="AC21" s="59">
        <f t="shared" si="18"/>
        <v>0</v>
      </c>
      <c r="AD21" s="59">
        <f t="shared" si="18"/>
        <v>0</v>
      </c>
      <c r="AE21" s="59">
        <f t="shared" si="18"/>
        <v>0</v>
      </c>
      <c r="AF21" s="59">
        <f t="shared" si="18"/>
        <v>0</v>
      </c>
      <c r="AG21" s="59">
        <f t="shared" si="18"/>
        <v>0</v>
      </c>
      <c r="AH21" s="59">
        <f t="shared" si="18"/>
        <v>0</v>
      </c>
      <c r="AI21" s="59">
        <f t="shared" si="18"/>
        <v>0</v>
      </c>
      <c r="AJ21" s="59">
        <f t="shared" si="18"/>
        <v>0</v>
      </c>
      <c r="AK21" s="59">
        <f t="shared" si="18"/>
        <v>0</v>
      </c>
      <c r="AL21" s="59">
        <f t="shared" si="18"/>
        <v>0</v>
      </c>
      <c r="AM21" s="59">
        <f t="shared" si="18"/>
        <v>0</v>
      </c>
      <c r="AN21" s="59">
        <f t="shared" si="18"/>
        <v>0</v>
      </c>
      <c r="AO21" s="59">
        <f t="shared" si="18"/>
        <v>0</v>
      </c>
      <c r="AP21" s="59">
        <f t="shared" si="18"/>
        <v>0</v>
      </c>
      <c r="AQ21" s="59">
        <f t="shared" si="18"/>
        <v>0</v>
      </c>
      <c r="AR21" s="59">
        <f t="shared" si="18"/>
        <v>0</v>
      </c>
      <c r="AS21" s="59">
        <f t="shared" si="18"/>
        <v>0</v>
      </c>
      <c r="AT21" s="59">
        <f t="shared" si="18"/>
        <v>0</v>
      </c>
      <c r="AU21" s="59">
        <f t="shared" si="18"/>
        <v>0</v>
      </c>
      <c r="AV21" s="59">
        <f t="shared" si="18"/>
        <v>0</v>
      </c>
      <c r="AW21" s="59">
        <f t="shared" si="18"/>
        <v>0</v>
      </c>
      <c r="AX21" s="59">
        <f t="shared" si="18"/>
        <v>0</v>
      </c>
      <c r="AY21" s="59">
        <f t="shared" si="18"/>
        <v>0</v>
      </c>
      <c r="AZ21" s="59">
        <f t="shared" si="18"/>
        <v>0</v>
      </c>
      <c r="BA21" s="59">
        <f t="shared" si="18"/>
        <v>0</v>
      </c>
      <c r="BB21" s="59">
        <f t="shared" si="18"/>
        <v>0</v>
      </c>
      <c r="BC21" s="59">
        <f t="shared" si="18"/>
        <v>0</v>
      </c>
      <c r="BD21" s="59">
        <f t="shared" si="18"/>
        <v>0</v>
      </c>
      <c r="BE21" s="59">
        <f t="shared" si="18"/>
        <v>0</v>
      </c>
      <c r="BF21" s="59">
        <f t="shared" si="18"/>
        <v>0</v>
      </c>
      <c r="BG21" s="59">
        <f t="shared" si="18"/>
        <v>0</v>
      </c>
      <c r="BH21" s="59">
        <f t="shared" si="18"/>
        <v>0</v>
      </c>
      <c r="BI21" s="59">
        <f t="shared" si="18"/>
        <v>0</v>
      </c>
      <c r="BJ21" s="59">
        <f t="shared" si="18"/>
        <v>0</v>
      </c>
      <c r="BK21" s="59">
        <f t="shared" si="18"/>
        <v>0</v>
      </c>
      <c r="BL21" s="59">
        <f t="shared" si="18"/>
        <v>0</v>
      </c>
      <c r="BM21" s="59">
        <f t="shared" si="18"/>
        <v>0</v>
      </c>
      <c r="BN21" s="59">
        <f t="shared" si="18"/>
        <v>0</v>
      </c>
      <c r="BO21" s="59">
        <f t="shared" si="18"/>
        <v>0</v>
      </c>
      <c r="BP21" s="59">
        <f t="shared" si="18"/>
        <v>0</v>
      </c>
      <c r="BQ21" s="59">
        <f t="shared" si="18"/>
        <v>0</v>
      </c>
      <c r="BR21" s="59">
        <f t="shared" si="18"/>
        <v>0</v>
      </c>
      <c r="BS21" s="59">
        <f t="shared" si="18"/>
        <v>0</v>
      </c>
      <c r="BT21" s="59">
        <f t="shared" si="18"/>
        <v>0</v>
      </c>
      <c r="BU21" s="59">
        <f t="shared" si="18"/>
        <v>0</v>
      </c>
      <c r="BV21" s="59">
        <f t="shared" si="18"/>
        <v>0</v>
      </c>
      <c r="BW21" s="59">
        <f t="shared" si="18"/>
        <v>0</v>
      </c>
      <c r="BX21" s="59">
        <f t="shared" si="18"/>
        <v>0</v>
      </c>
      <c r="BY21" s="59">
        <f t="shared" si="18"/>
        <v>0</v>
      </c>
      <c r="BZ21" s="59">
        <f t="shared" si="18"/>
        <v>0</v>
      </c>
      <c r="CA21" s="59">
        <f t="shared" si="18"/>
        <v>0</v>
      </c>
      <c r="CB21" s="59">
        <f t="shared" si="18"/>
        <v>0</v>
      </c>
      <c r="CC21" s="59">
        <f t="shared" si="18"/>
        <v>0</v>
      </c>
      <c r="CD21" s="59">
        <f t="shared" si="18"/>
        <v>0</v>
      </c>
      <c r="CE21" s="59">
        <f t="shared" si="18"/>
        <v>0</v>
      </c>
      <c r="CF21" s="59">
        <f t="shared" si="18"/>
        <v>0</v>
      </c>
      <c r="CG21" s="59">
        <f t="shared" si="18"/>
        <v>0</v>
      </c>
      <c r="CH21" s="59">
        <f t="shared" si="18"/>
        <v>0</v>
      </c>
      <c r="CI21" s="59">
        <f t="shared" ref="CI21:DB21" si="19">+-$E$45*CI132</f>
        <v>0</v>
      </c>
      <c r="CJ21" s="59">
        <f t="shared" si="19"/>
        <v>0</v>
      </c>
      <c r="CK21" s="59">
        <f t="shared" si="19"/>
        <v>0</v>
      </c>
      <c r="CL21" s="59">
        <f t="shared" si="19"/>
        <v>0</v>
      </c>
      <c r="CM21" s="59">
        <f t="shared" si="19"/>
        <v>0</v>
      </c>
      <c r="CN21" s="59">
        <f t="shared" si="19"/>
        <v>0</v>
      </c>
      <c r="CO21" s="59">
        <f t="shared" si="19"/>
        <v>0</v>
      </c>
      <c r="CP21" s="59">
        <f t="shared" si="19"/>
        <v>0</v>
      </c>
      <c r="CQ21" s="59">
        <f t="shared" si="19"/>
        <v>0</v>
      </c>
      <c r="CR21" s="59">
        <f t="shared" si="19"/>
        <v>0</v>
      </c>
      <c r="CS21" s="59">
        <f t="shared" si="19"/>
        <v>0</v>
      </c>
      <c r="CT21" s="59">
        <f t="shared" si="19"/>
        <v>0</v>
      </c>
      <c r="CU21" s="59">
        <f t="shared" si="19"/>
        <v>0</v>
      </c>
      <c r="CV21" s="59">
        <f t="shared" si="19"/>
        <v>0</v>
      </c>
      <c r="CW21" s="59">
        <f t="shared" si="19"/>
        <v>0</v>
      </c>
      <c r="CX21" s="59">
        <f t="shared" si="19"/>
        <v>0</v>
      </c>
      <c r="CY21" s="59">
        <f t="shared" si="19"/>
        <v>0</v>
      </c>
      <c r="CZ21" s="59">
        <f t="shared" si="19"/>
        <v>0</v>
      </c>
      <c r="DA21" s="59">
        <f t="shared" si="19"/>
        <v>0</v>
      </c>
      <c r="DB21" s="59">
        <f t="shared" si="19"/>
        <v>0</v>
      </c>
      <c r="DC21" s="21" t="s">
        <v>11</v>
      </c>
    </row>
    <row r="22" spans="2:107">
      <c r="B22" s="81" t="s">
        <v>29</v>
      </c>
      <c r="D22" s="82">
        <v>128</v>
      </c>
      <c r="E22" s="82">
        <v>112</v>
      </c>
      <c r="F22" s="83">
        <f>+D22-E22</f>
        <v>16</v>
      </c>
      <c r="G22" s="84"/>
      <c r="I22" s="68" t="s">
        <v>61</v>
      </c>
      <c r="M22" s="85">
        <f>+O22/C61-1</f>
        <v>0.10319074518058802</v>
      </c>
      <c r="N22" s="86"/>
      <c r="O22" s="84">
        <f>+P22/D22</f>
        <v>9010.5949999999993</v>
      </c>
      <c r="P22" s="87">
        <f>+SUM(P20:P21)</f>
        <v>1153356.1599999999</v>
      </c>
      <c r="T22" s="86" t="s">
        <v>62</v>
      </c>
      <c r="U22" s="88">
        <f>+SUM(V22:DB22)</f>
        <v>-2454.166666666667</v>
      </c>
      <c r="V22" s="89">
        <f>+SUM(V19:V21)</f>
        <v>0</v>
      </c>
      <c r="W22" s="89">
        <f t="shared" ref="W22:CH22" si="20">+SUM(W19:W21)</f>
        <v>0</v>
      </c>
      <c r="X22" s="89">
        <f t="shared" si="20"/>
        <v>-779.16666666666674</v>
      </c>
      <c r="Y22" s="89">
        <f t="shared" si="20"/>
        <v>-279.16666666666669</v>
      </c>
      <c r="Z22" s="89">
        <f t="shared" si="20"/>
        <v>-279.16666666666669</v>
      </c>
      <c r="AA22" s="89">
        <f t="shared" si="20"/>
        <v>-279.16666666666669</v>
      </c>
      <c r="AB22" s="89">
        <f t="shared" si="20"/>
        <v>-279.16666666666669</v>
      </c>
      <c r="AC22" s="89">
        <f t="shared" si="20"/>
        <v>-279.16666666666669</v>
      </c>
      <c r="AD22" s="89">
        <f t="shared" si="20"/>
        <v>-279.16666666666669</v>
      </c>
      <c r="AE22" s="89">
        <f t="shared" si="20"/>
        <v>0</v>
      </c>
      <c r="AF22" s="89">
        <f t="shared" si="20"/>
        <v>0</v>
      </c>
      <c r="AG22" s="89">
        <f t="shared" si="20"/>
        <v>0</v>
      </c>
      <c r="AH22" s="89">
        <f t="shared" si="20"/>
        <v>0</v>
      </c>
      <c r="AI22" s="89">
        <f t="shared" si="20"/>
        <v>0</v>
      </c>
      <c r="AJ22" s="89">
        <f t="shared" si="20"/>
        <v>0</v>
      </c>
      <c r="AK22" s="89">
        <f t="shared" si="20"/>
        <v>0</v>
      </c>
      <c r="AL22" s="89">
        <f t="shared" si="20"/>
        <v>0</v>
      </c>
      <c r="AM22" s="89">
        <f t="shared" si="20"/>
        <v>0</v>
      </c>
      <c r="AN22" s="89">
        <f t="shared" si="20"/>
        <v>0</v>
      </c>
      <c r="AO22" s="89">
        <f t="shared" si="20"/>
        <v>0</v>
      </c>
      <c r="AP22" s="89">
        <f t="shared" si="20"/>
        <v>0</v>
      </c>
      <c r="AQ22" s="89">
        <f t="shared" si="20"/>
        <v>0</v>
      </c>
      <c r="AR22" s="89">
        <f t="shared" si="20"/>
        <v>0</v>
      </c>
      <c r="AS22" s="89">
        <f t="shared" si="20"/>
        <v>0</v>
      </c>
      <c r="AT22" s="89">
        <f t="shared" si="20"/>
        <v>0</v>
      </c>
      <c r="AU22" s="89">
        <f t="shared" si="20"/>
        <v>0</v>
      </c>
      <c r="AV22" s="89">
        <f t="shared" si="20"/>
        <v>0</v>
      </c>
      <c r="AW22" s="89">
        <f t="shared" si="20"/>
        <v>0</v>
      </c>
      <c r="AX22" s="89">
        <f t="shared" si="20"/>
        <v>0</v>
      </c>
      <c r="AY22" s="89">
        <f t="shared" si="20"/>
        <v>0</v>
      </c>
      <c r="AZ22" s="89">
        <f t="shared" si="20"/>
        <v>0</v>
      </c>
      <c r="BA22" s="89">
        <f t="shared" si="20"/>
        <v>0</v>
      </c>
      <c r="BB22" s="89">
        <f t="shared" si="20"/>
        <v>0</v>
      </c>
      <c r="BC22" s="89">
        <f t="shared" si="20"/>
        <v>0</v>
      </c>
      <c r="BD22" s="89">
        <f t="shared" si="20"/>
        <v>0</v>
      </c>
      <c r="BE22" s="89">
        <f t="shared" si="20"/>
        <v>0</v>
      </c>
      <c r="BF22" s="89">
        <f t="shared" si="20"/>
        <v>0</v>
      </c>
      <c r="BG22" s="89">
        <f t="shared" si="20"/>
        <v>0</v>
      </c>
      <c r="BH22" s="89">
        <f t="shared" si="20"/>
        <v>0</v>
      </c>
      <c r="BI22" s="89">
        <f t="shared" si="20"/>
        <v>0</v>
      </c>
      <c r="BJ22" s="89">
        <f t="shared" si="20"/>
        <v>0</v>
      </c>
      <c r="BK22" s="89">
        <f t="shared" si="20"/>
        <v>0</v>
      </c>
      <c r="BL22" s="89">
        <f t="shared" si="20"/>
        <v>0</v>
      </c>
      <c r="BM22" s="89">
        <f t="shared" si="20"/>
        <v>0</v>
      </c>
      <c r="BN22" s="89">
        <f t="shared" si="20"/>
        <v>0</v>
      </c>
      <c r="BO22" s="89">
        <f t="shared" si="20"/>
        <v>0</v>
      </c>
      <c r="BP22" s="89">
        <f t="shared" si="20"/>
        <v>0</v>
      </c>
      <c r="BQ22" s="89">
        <f t="shared" si="20"/>
        <v>0</v>
      </c>
      <c r="BR22" s="89">
        <f t="shared" si="20"/>
        <v>0</v>
      </c>
      <c r="BS22" s="89">
        <f t="shared" si="20"/>
        <v>0</v>
      </c>
      <c r="BT22" s="89">
        <f t="shared" si="20"/>
        <v>0</v>
      </c>
      <c r="BU22" s="89">
        <f t="shared" si="20"/>
        <v>0</v>
      </c>
      <c r="BV22" s="89">
        <f t="shared" si="20"/>
        <v>0</v>
      </c>
      <c r="BW22" s="89">
        <f t="shared" si="20"/>
        <v>0</v>
      </c>
      <c r="BX22" s="89">
        <f t="shared" si="20"/>
        <v>0</v>
      </c>
      <c r="BY22" s="89">
        <f t="shared" si="20"/>
        <v>0</v>
      </c>
      <c r="BZ22" s="89">
        <f t="shared" si="20"/>
        <v>0</v>
      </c>
      <c r="CA22" s="89">
        <f t="shared" si="20"/>
        <v>0</v>
      </c>
      <c r="CB22" s="89">
        <f t="shared" si="20"/>
        <v>0</v>
      </c>
      <c r="CC22" s="89">
        <f t="shared" si="20"/>
        <v>0</v>
      </c>
      <c r="CD22" s="89">
        <f t="shared" si="20"/>
        <v>0</v>
      </c>
      <c r="CE22" s="89">
        <f t="shared" si="20"/>
        <v>0</v>
      </c>
      <c r="CF22" s="89">
        <f t="shared" si="20"/>
        <v>0</v>
      </c>
      <c r="CG22" s="89">
        <f t="shared" si="20"/>
        <v>0</v>
      </c>
      <c r="CH22" s="89">
        <f t="shared" si="20"/>
        <v>0</v>
      </c>
      <c r="CI22" s="89">
        <f t="shared" ref="CI22:DB22" si="21">+SUM(CI19:CI21)</f>
        <v>0</v>
      </c>
      <c r="CJ22" s="89">
        <f t="shared" si="21"/>
        <v>0</v>
      </c>
      <c r="CK22" s="89">
        <f t="shared" si="21"/>
        <v>0</v>
      </c>
      <c r="CL22" s="89">
        <f t="shared" si="21"/>
        <v>0</v>
      </c>
      <c r="CM22" s="89">
        <f t="shared" si="21"/>
        <v>0</v>
      </c>
      <c r="CN22" s="89">
        <f t="shared" si="21"/>
        <v>0</v>
      </c>
      <c r="CO22" s="89">
        <f t="shared" si="21"/>
        <v>0</v>
      </c>
      <c r="CP22" s="89">
        <f t="shared" si="21"/>
        <v>0</v>
      </c>
      <c r="CQ22" s="89">
        <f t="shared" si="21"/>
        <v>0</v>
      </c>
      <c r="CR22" s="89">
        <f t="shared" si="21"/>
        <v>0</v>
      </c>
      <c r="CS22" s="89">
        <f t="shared" si="21"/>
        <v>0</v>
      </c>
      <c r="CT22" s="89">
        <f t="shared" si="21"/>
        <v>0</v>
      </c>
      <c r="CU22" s="89">
        <f t="shared" si="21"/>
        <v>0</v>
      </c>
      <c r="CV22" s="89">
        <f t="shared" si="21"/>
        <v>0</v>
      </c>
      <c r="CW22" s="89">
        <f t="shared" si="21"/>
        <v>0</v>
      </c>
      <c r="CX22" s="89">
        <f t="shared" si="21"/>
        <v>0</v>
      </c>
      <c r="CY22" s="89">
        <f t="shared" si="21"/>
        <v>0</v>
      </c>
      <c r="CZ22" s="89">
        <f t="shared" si="21"/>
        <v>0</v>
      </c>
      <c r="DA22" s="89">
        <f t="shared" si="21"/>
        <v>0</v>
      </c>
      <c r="DB22" s="89">
        <f t="shared" si="21"/>
        <v>0</v>
      </c>
      <c r="DC22" s="21" t="s">
        <v>11</v>
      </c>
    </row>
    <row r="23" spans="2:107">
      <c r="E23" s="25"/>
      <c r="G23" s="34"/>
      <c r="O23" s="80"/>
      <c r="P23" s="25"/>
      <c r="U23" s="58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59"/>
      <c r="BE23" s="59"/>
      <c r="BF23" s="59"/>
      <c r="BG23" s="59"/>
      <c r="BH23" s="59"/>
      <c r="BI23" s="59"/>
      <c r="BJ23" s="59"/>
      <c r="BK23" s="59"/>
      <c r="BL23" s="59"/>
      <c r="BM23" s="59"/>
      <c r="BN23" s="59"/>
      <c r="BO23" s="59"/>
      <c r="BP23" s="59"/>
      <c r="BQ23" s="59"/>
      <c r="BR23" s="59"/>
      <c r="BS23" s="59"/>
      <c r="BT23" s="59"/>
      <c r="BU23" s="59"/>
      <c r="BV23" s="59"/>
      <c r="BW23" s="59"/>
      <c r="BX23" s="59"/>
      <c r="BY23" s="59"/>
      <c r="BZ23" s="59"/>
      <c r="CA23" s="59"/>
      <c r="CB23" s="59"/>
      <c r="CC23" s="59"/>
      <c r="CD23" s="59"/>
      <c r="CE23" s="59"/>
      <c r="CF23" s="59"/>
      <c r="CG23" s="59"/>
      <c r="CH23" s="59"/>
      <c r="CI23" s="59"/>
      <c r="CJ23" s="59"/>
      <c r="CK23" s="59"/>
      <c r="CL23" s="59"/>
      <c r="CM23" s="59"/>
      <c r="CN23" s="59"/>
      <c r="CO23" s="59"/>
      <c r="CP23" s="59"/>
      <c r="CQ23" s="59"/>
      <c r="CR23" s="59"/>
      <c r="CS23" s="59"/>
      <c r="CT23" s="59"/>
      <c r="CU23" s="59"/>
      <c r="CV23" s="59"/>
      <c r="CW23" s="59"/>
      <c r="CX23" s="59"/>
      <c r="CY23" s="59"/>
      <c r="CZ23" s="59"/>
      <c r="DA23" s="59"/>
      <c r="DB23" s="59"/>
      <c r="DC23" s="21" t="s">
        <v>11</v>
      </c>
    </row>
    <row r="24" spans="2:107">
      <c r="B24" s="90" t="s">
        <v>63</v>
      </c>
      <c r="D24" s="22" t="s">
        <v>64</v>
      </c>
      <c r="E24" s="22" t="s">
        <v>65</v>
      </c>
      <c r="I24" s="91" t="s">
        <v>66</v>
      </c>
      <c r="M24" s="22" t="s">
        <v>50</v>
      </c>
      <c r="N24" s="22" t="s">
        <v>51</v>
      </c>
      <c r="O24" s="92" t="s">
        <v>52</v>
      </c>
      <c r="P24" s="93" t="s">
        <v>53</v>
      </c>
      <c r="T24" s="57" t="str">
        <f>+T133</f>
        <v xml:space="preserve">Tasas </v>
      </c>
      <c r="U24" s="58">
        <f t="shared" ref="U24:U29" si="22">+SUM(V24:DB24)</f>
        <v>-5152.0000000000009</v>
      </c>
      <c r="V24" s="59">
        <f>+-V133*$E$52</f>
        <v>0</v>
      </c>
      <c r="W24" s="59">
        <f t="shared" ref="W24:CH24" si="23">+-W133*$E$52</f>
        <v>0</v>
      </c>
      <c r="X24" s="59">
        <f t="shared" si="23"/>
        <v>-5152.0000000000009</v>
      </c>
      <c r="Y24" s="59">
        <f t="shared" si="23"/>
        <v>0</v>
      </c>
      <c r="Z24" s="59">
        <f t="shared" si="23"/>
        <v>0</v>
      </c>
      <c r="AA24" s="59">
        <f t="shared" si="23"/>
        <v>0</v>
      </c>
      <c r="AB24" s="59">
        <f t="shared" si="23"/>
        <v>0</v>
      </c>
      <c r="AC24" s="59">
        <f t="shared" si="23"/>
        <v>0</v>
      </c>
      <c r="AD24" s="59">
        <f t="shared" si="23"/>
        <v>0</v>
      </c>
      <c r="AE24" s="59">
        <f t="shared" si="23"/>
        <v>0</v>
      </c>
      <c r="AF24" s="59">
        <f t="shared" si="23"/>
        <v>0</v>
      </c>
      <c r="AG24" s="59">
        <f t="shared" si="23"/>
        <v>0</v>
      </c>
      <c r="AH24" s="59">
        <f t="shared" si="23"/>
        <v>0</v>
      </c>
      <c r="AI24" s="59">
        <f t="shared" si="23"/>
        <v>0</v>
      </c>
      <c r="AJ24" s="59">
        <f t="shared" si="23"/>
        <v>0</v>
      </c>
      <c r="AK24" s="59">
        <f t="shared" si="23"/>
        <v>0</v>
      </c>
      <c r="AL24" s="59">
        <f t="shared" si="23"/>
        <v>0</v>
      </c>
      <c r="AM24" s="59">
        <f t="shared" si="23"/>
        <v>0</v>
      </c>
      <c r="AN24" s="59">
        <f t="shared" si="23"/>
        <v>0</v>
      </c>
      <c r="AO24" s="59">
        <f t="shared" si="23"/>
        <v>0</v>
      </c>
      <c r="AP24" s="59">
        <f t="shared" si="23"/>
        <v>0</v>
      </c>
      <c r="AQ24" s="59">
        <f t="shared" si="23"/>
        <v>0</v>
      </c>
      <c r="AR24" s="59">
        <f t="shared" si="23"/>
        <v>0</v>
      </c>
      <c r="AS24" s="59">
        <f t="shared" si="23"/>
        <v>0</v>
      </c>
      <c r="AT24" s="59">
        <f t="shared" si="23"/>
        <v>0</v>
      </c>
      <c r="AU24" s="59">
        <f t="shared" si="23"/>
        <v>0</v>
      </c>
      <c r="AV24" s="59">
        <f t="shared" si="23"/>
        <v>0</v>
      </c>
      <c r="AW24" s="59">
        <f t="shared" si="23"/>
        <v>0</v>
      </c>
      <c r="AX24" s="59">
        <f t="shared" si="23"/>
        <v>0</v>
      </c>
      <c r="AY24" s="59">
        <f t="shared" si="23"/>
        <v>0</v>
      </c>
      <c r="AZ24" s="59">
        <f t="shared" si="23"/>
        <v>0</v>
      </c>
      <c r="BA24" s="59">
        <f t="shared" si="23"/>
        <v>0</v>
      </c>
      <c r="BB24" s="59">
        <f t="shared" si="23"/>
        <v>0</v>
      </c>
      <c r="BC24" s="59">
        <f t="shared" si="23"/>
        <v>0</v>
      </c>
      <c r="BD24" s="59">
        <f t="shared" si="23"/>
        <v>0</v>
      </c>
      <c r="BE24" s="59">
        <f t="shared" si="23"/>
        <v>0</v>
      </c>
      <c r="BF24" s="59">
        <f t="shared" si="23"/>
        <v>0</v>
      </c>
      <c r="BG24" s="59">
        <f t="shared" si="23"/>
        <v>0</v>
      </c>
      <c r="BH24" s="59">
        <f t="shared" si="23"/>
        <v>0</v>
      </c>
      <c r="BI24" s="59">
        <f t="shared" si="23"/>
        <v>0</v>
      </c>
      <c r="BJ24" s="59">
        <f t="shared" si="23"/>
        <v>0</v>
      </c>
      <c r="BK24" s="59">
        <f t="shared" si="23"/>
        <v>0</v>
      </c>
      <c r="BL24" s="59">
        <f t="shared" si="23"/>
        <v>0</v>
      </c>
      <c r="BM24" s="59">
        <f t="shared" si="23"/>
        <v>0</v>
      </c>
      <c r="BN24" s="59">
        <f t="shared" si="23"/>
        <v>0</v>
      </c>
      <c r="BO24" s="59">
        <f t="shared" si="23"/>
        <v>0</v>
      </c>
      <c r="BP24" s="59">
        <f t="shared" si="23"/>
        <v>0</v>
      </c>
      <c r="BQ24" s="59">
        <f t="shared" si="23"/>
        <v>0</v>
      </c>
      <c r="BR24" s="59">
        <f t="shared" si="23"/>
        <v>0</v>
      </c>
      <c r="BS24" s="59">
        <f t="shared" si="23"/>
        <v>0</v>
      </c>
      <c r="BT24" s="59">
        <f t="shared" si="23"/>
        <v>0</v>
      </c>
      <c r="BU24" s="59">
        <f t="shared" si="23"/>
        <v>0</v>
      </c>
      <c r="BV24" s="59">
        <f t="shared" si="23"/>
        <v>0</v>
      </c>
      <c r="BW24" s="59">
        <f t="shared" si="23"/>
        <v>0</v>
      </c>
      <c r="BX24" s="59">
        <f t="shared" si="23"/>
        <v>0</v>
      </c>
      <c r="BY24" s="59">
        <f t="shared" si="23"/>
        <v>0</v>
      </c>
      <c r="BZ24" s="59">
        <f t="shared" si="23"/>
        <v>0</v>
      </c>
      <c r="CA24" s="59">
        <f t="shared" si="23"/>
        <v>0</v>
      </c>
      <c r="CB24" s="59">
        <f t="shared" si="23"/>
        <v>0</v>
      </c>
      <c r="CC24" s="59">
        <f t="shared" si="23"/>
        <v>0</v>
      </c>
      <c r="CD24" s="59">
        <f t="shared" si="23"/>
        <v>0</v>
      </c>
      <c r="CE24" s="59">
        <f t="shared" si="23"/>
        <v>0</v>
      </c>
      <c r="CF24" s="59">
        <f t="shared" si="23"/>
        <v>0</v>
      </c>
      <c r="CG24" s="59">
        <f t="shared" si="23"/>
        <v>0</v>
      </c>
      <c r="CH24" s="59">
        <f t="shared" si="23"/>
        <v>0</v>
      </c>
      <c r="CI24" s="59">
        <f t="shared" ref="CI24:DB24" si="24">+-CI133*$E$52</f>
        <v>0</v>
      </c>
      <c r="CJ24" s="59">
        <f t="shared" si="24"/>
        <v>0</v>
      </c>
      <c r="CK24" s="59">
        <f t="shared" si="24"/>
        <v>0</v>
      </c>
      <c r="CL24" s="59">
        <f t="shared" si="24"/>
        <v>0</v>
      </c>
      <c r="CM24" s="59">
        <f t="shared" si="24"/>
        <v>0</v>
      </c>
      <c r="CN24" s="59">
        <f t="shared" si="24"/>
        <v>0</v>
      </c>
      <c r="CO24" s="59">
        <f t="shared" si="24"/>
        <v>0</v>
      </c>
      <c r="CP24" s="59">
        <f t="shared" si="24"/>
        <v>0</v>
      </c>
      <c r="CQ24" s="59">
        <f t="shared" si="24"/>
        <v>0</v>
      </c>
      <c r="CR24" s="59">
        <f t="shared" si="24"/>
        <v>0</v>
      </c>
      <c r="CS24" s="59">
        <f t="shared" si="24"/>
        <v>0</v>
      </c>
      <c r="CT24" s="59">
        <f t="shared" si="24"/>
        <v>0</v>
      </c>
      <c r="CU24" s="59">
        <f t="shared" si="24"/>
        <v>0</v>
      </c>
      <c r="CV24" s="59">
        <f t="shared" si="24"/>
        <v>0</v>
      </c>
      <c r="CW24" s="59">
        <f t="shared" si="24"/>
        <v>0</v>
      </c>
      <c r="CX24" s="59">
        <f t="shared" si="24"/>
        <v>0</v>
      </c>
      <c r="CY24" s="59">
        <f t="shared" si="24"/>
        <v>0</v>
      </c>
      <c r="CZ24" s="59">
        <f t="shared" si="24"/>
        <v>0</v>
      </c>
      <c r="DA24" s="59">
        <f t="shared" si="24"/>
        <v>0</v>
      </c>
      <c r="DB24" s="59">
        <f t="shared" si="24"/>
        <v>0</v>
      </c>
      <c r="DC24" s="21" t="s">
        <v>11</v>
      </c>
    </row>
    <row r="25" spans="2:107">
      <c r="B25" s="94" t="s">
        <v>67</v>
      </c>
      <c r="E25" s="65">
        <v>0</v>
      </c>
      <c r="I25" s="57" t="s">
        <v>68</v>
      </c>
      <c r="M25" s="24">
        <v>0.25</v>
      </c>
      <c r="N25" s="95"/>
      <c r="O25" s="80">
        <f>+P25/D22</f>
        <v>-194.09955729166677</v>
      </c>
      <c r="P25" s="25">
        <f>+-M25*U67</f>
        <v>-24844.743333333347</v>
      </c>
      <c r="T25" s="57" t="s">
        <v>69</v>
      </c>
      <c r="U25" s="58">
        <f t="shared" si="22"/>
        <v>-1815</v>
      </c>
      <c r="V25" s="59">
        <f t="shared" ref="V25:CG25" si="25">+-(V135*$D$125+$D$126/$U$136*V136+V137*$D$127)</f>
        <v>0</v>
      </c>
      <c r="W25" s="59">
        <f t="shared" si="25"/>
        <v>0</v>
      </c>
      <c r="X25" s="59">
        <f t="shared" si="25"/>
        <v>-1815</v>
      </c>
      <c r="Y25" s="59">
        <f t="shared" si="25"/>
        <v>0</v>
      </c>
      <c r="Z25" s="59">
        <f t="shared" si="25"/>
        <v>0</v>
      </c>
      <c r="AA25" s="59">
        <f t="shared" si="25"/>
        <v>0</v>
      </c>
      <c r="AB25" s="59">
        <f t="shared" si="25"/>
        <v>0</v>
      </c>
      <c r="AC25" s="59">
        <f t="shared" si="25"/>
        <v>0</v>
      </c>
      <c r="AD25" s="59">
        <f t="shared" si="25"/>
        <v>0</v>
      </c>
      <c r="AE25" s="59">
        <f t="shared" si="25"/>
        <v>0</v>
      </c>
      <c r="AF25" s="59">
        <f t="shared" si="25"/>
        <v>0</v>
      </c>
      <c r="AG25" s="59">
        <f t="shared" si="25"/>
        <v>0</v>
      </c>
      <c r="AH25" s="59">
        <f t="shared" si="25"/>
        <v>0</v>
      </c>
      <c r="AI25" s="59">
        <f t="shared" si="25"/>
        <v>0</v>
      </c>
      <c r="AJ25" s="59">
        <f t="shared" si="25"/>
        <v>0</v>
      </c>
      <c r="AK25" s="59">
        <f t="shared" si="25"/>
        <v>0</v>
      </c>
      <c r="AL25" s="59">
        <f t="shared" si="25"/>
        <v>0</v>
      </c>
      <c r="AM25" s="59">
        <f t="shared" si="25"/>
        <v>0</v>
      </c>
      <c r="AN25" s="59">
        <f t="shared" si="25"/>
        <v>0</v>
      </c>
      <c r="AO25" s="59">
        <f t="shared" si="25"/>
        <v>0</v>
      </c>
      <c r="AP25" s="59">
        <f t="shared" si="25"/>
        <v>0</v>
      </c>
      <c r="AQ25" s="59">
        <f t="shared" si="25"/>
        <v>0</v>
      </c>
      <c r="AR25" s="59">
        <f t="shared" si="25"/>
        <v>0</v>
      </c>
      <c r="AS25" s="59">
        <f t="shared" si="25"/>
        <v>0</v>
      </c>
      <c r="AT25" s="59">
        <f t="shared" si="25"/>
        <v>0</v>
      </c>
      <c r="AU25" s="59">
        <f t="shared" si="25"/>
        <v>0</v>
      </c>
      <c r="AV25" s="59">
        <f t="shared" si="25"/>
        <v>0</v>
      </c>
      <c r="AW25" s="59">
        <f t="shared" si="25"/>
        <v>0</v>
      </c>
      <c r="AX25" s="59">
        <f t="shared" si="25"/>
        <v>0</v>
      </c>
      <c r="AY25" s="59">
        <f t="shared" si="25"/>
        <v>0</v>
      </c>
      <c r="AZ25" s="59">
        <f t="shared" si="25"/>
        <v>0</v>
      </c>
      <c r="BA25" s="59">
        <f t="shared" si="25"/>
        <v>0</v>
      </c>
      <c r="BB25" s="59">
        <f t="shared" si="25"/>
        <v>0</v>
      </c>
      <c r="BC25" s="59">
        <f t="shared" si="25"/>
        <v>0</v>
      </c>
      <c r="BD25" s="59">
        <f t="shared" si="25"/>
        <v>0</v>
      </c>
      <c r="BE25" s="59">
        <f t="shared" si="25"/>
        <v>0</v>
      </c>
      <c r="BF25" s="59">
        <f t="shared" si="25"/>
        <v>0</v>
      </c>
      <c r="BG25" s="59">
        <f t="shared" si="25"/>
        <v>0</v>
      </c>
      <c r="BH25" s="59">
        <f t="shared" si="25"/>
        <v>0</v>
      </c>
      <c r="BI25" s="59">
        <f t="shared" si="25"/>
        <v>0</v>
      </c>
      <c r="BJ25" s="59">
        <f t="shared" si="25"/>
        <v>0</v>
      </c>
      <c r="BK25" s="59">
        <f t="shared" si="25"/>
        <v>0</v>
      </c>
      <c r="BL25" s="59">
        <f t="shared" si="25"/>
        <v>0</v>
      </c>
      <c r="BM25" s="59">
        <f t="shared" si="25"/>
        <v>0</v>
      </c>
      <c r="BN25" s="59">
        <f t="shared" si="25"/>
        <v>0</v>
      </c>
      <c r="BO25" s="59">
        <f t="shared" si="25"/>
        <v>0</v>
      </c>
      <c r="BP25" s="59">
        <f t="shared" si="25"/>
        <v>0</v>
      </c>
      <c r="BQ25" s="59">
        <f t="shared" si="25"/>
        <v>0</v>
      </c>
      <c r="BR25" s="59">
        <f t="shared" si="25"/>
        <v>0</v>
      </c>
      <c r="BS25" s="59">
        <f t="shared" si="25"/>
        <v>0</v>
      </c>
      <c r="BT25" s="59">
        <f t="shared" si="25"/>
        <v>0</v>
      </c>
      <c r="BU25" s="59">
        <f t="shared" si="25"/>
        <v>0</v>
      </c>
      <c r="BV25" s="59">
        <f t="shared" si="25"/>
        <v>0</v>
      </c>
      <c r="BW25" s="59">
        <f t="shared" si="25"/>
        <v>0</v>
      </c>
      <c r="BX25" s="59">
        <f t="shared" si="25"/>
        <v>0</v>
      </c>
      <c r="BY25" s="59">
        <f t="shared" si="25"/>
        <v>0</v>
      </c>
      <c r="BZ25" s="59">
        <f t="shared" si="25"/>
        <v>0</v>
      </c>
      <c r="CA25" s="59">
        <f t="shared" si="25"/>
        <v>0</v>
      </c>
      <c r="CB25" s="59">
        <f t="shared" si="25"/>
        <v>0</v>
      </c>
      <c r="CC25" s="59">
        <f t="shared" si="25"/>
        <v>0</v>
      </c>
      <c r="CD25" s="59">
        <f t="shared" si="25"/>
        <v>0</v>
      </c>
      <c r="CE25" s="59">
        <f t="shared" si="25"/>
        <v>0</v>
      </c>
      <c r="CF25" s="59">
        <f t="shared" si="25"/>
        <v>0</v>
      </c>
      <c r="CG25" s="59">
        <f t="shared" si="25"/>
        <v>0</v>
      </c>
      <c r="CH25" s="59">
        <f t="shared" ref="CH25:DB25" si="26">+-(CH135*$D$125+$D$126/$U$136*CH136+CH137*$D$127)</f>
        <v>0</v>
      </c>
      <c r="CI25" s="59">
        <f t="shared" si="26"/>
        <v>0</v>
      </c>
      <c r="CJ25" s="59">
        <f t="shared" si="26"/>
        <v>0</v>
      </c>
      <c r="CK25" s="59">
        <f t="shared" si="26"/>
        <v>0</v>
      </c>
      <c r="CL25" s="59">
        <f t="shared" si="26"/>
        <v>0</v>
      </c>
      <c r="CM25" s="59">
        <f t="shared" si="26"/>
        <v>0</v>
      </c>
      <c r="CN25" s="59">
        <f t="shared" si="26"/>
        <v>0</v>
      </c>
      <c r="CO25" s="59">
        <f t="shared" si="26"/>
        <v>0</v>
      </c>
      <c r="CP25" s="59">
        <f t="shared" si="26"/>
        <v>0</v>
      </c>
      <c r="CQ25" s="59">
        <f t="shared" si="26"/>
        <v>0</v>
      </c>
      <c r="CR25" s="59">
        <f t="shared" si="26"/>
        <v>0</v>
      </c>
      <c r="CS25" s="59">
        <f t="shared" si="26"/>
        <v>0</v>
      </c>
      <c r="CT25" s="59">
        <f t="shared" si="26"/>
        <v>0</v>
      </c>
      <c r="CU25" s="59">
        <f t="shared" si="26"/>
        <v>0</v>
      </c>
      <c r="CV25" s="59">
        <f t="shared" si="26"/>
        <v>0</v>
      </c>
      <c r="CW25" s="59">
        <f t="shared" si="26"/>
        <v>0</v>
      </c>
      <c r="CX25" s="59">
        <f t="shared" si="26"/>
        <v>0</v>
      </c>
      <c r="CY25" s="59">
        <f t="shared" si="26"/>
        <v>0</v>
      </c>
      <c r="CZ25" s="59">
        <f t="shared" si="26"/>
        <v>0</v>
      </c>
      <c r="DA25" s="59">
        <f t="shared" si="26"/>
        <v>0</v>
      </c>
      <c r="DB25" s="59">
        <f t="shared" si="26"/>
        <v>0</v>
      </c>
      <c r="DC25" s="21" t="s">
        <v>11</v>
      </c>
    </row>
    <row r="26" spans="2:107">
      <c r="B26" s="94" t="s">
        <v>70</v>
      </c>
      <c r="E26" s="65">
        <v>0</v>
      </c>
      <c r="I26" s="62" t="s">
        <v>71</v>
      </c>
      <c r="J26" s="31"/>
      <c r="K26" s="31"/>
      <c r="L26" s="31"/>
      <c r="M26" s="96"/>
      <c r="N26" s="97">
        <v>750</v>
      </c>
      <c r="O26" s="98">
        <f>+M26*O22</f>
        <v>0</v>
      </c>
      <c r="P26" s="56">
        <f>+-N26*O10</f>
        <v>-4500</v>
      </c>
      <c r="T26" s="57" t="s">
        <v>72</v>
      </c>
      <c r="U26" s="58">
        <f t="shared" si="22"/>
        <v>-147200</v>
      </c>
      <c r="V26" s="59">
        <f>+-(V138*$D$119+V139*$D$120/$U$139+V140*$D$121)</f>
        <v>0</v>
      </c>
      <c r="W26" s="59">
        <f>+-(W138*$D$119+W139*$D$120/$U$139+W140*$D$121)</f>
        <v>0</v>
      </c>
      <c r="X26" s="59">
        <f t="shared" ref="X26:CI26" si="27">+-(X138*$D$119+X139*$D$120/$U$139+X140*$D$121)</f>
        <v>-22080</v>
      </c>
      <c r="Y26" s="59">
        <f t="shared" si="27"/>
        <v>-55200</v>
      </c>
      <c r="Z26" s="59">
        <f t="shared" si="27"/>
        <v>-55200</v>
      </c>
      <c r="AA26" s="59">
        <f t="shared" si="27"/>
        <v>-14720</v>
      </c>
      <c r="AB26" s="59">
        <f t="shared" si="27"/>
        <v>0</v>
      </c>
      <c r="AC26" s="59">
        <f t="shared" si="27"/>
        <v>0</v>
      </c>
      <c r="AD26" s="59">
        <f t="shared" si="27"/>
        <v>0</v>
      </c>
      <c r="AE26" s="59">
        <f t="shared" si="27"/>
        <v>0</v>
      </c>
      <c r="AF26" s="59">
        <f t="shared" si="27"/>
        <v>0</v>
      </c>
      <c r="AG26" s="59">
        <f t="shared" si="27"/>
        <v>0</v>
      </c>
      <c r="AH26" s="59">
        <f t="shared" si="27"/>
        <v>0</v>
      </c>
      <c r="AI26" s="59">
        <f t="shared" si="27"/>
        <v>0</v>
      </c>
      <c r="AJ26" s="59">
        <f t="shared" si="27"/>
        <v>0</v>
      </c>
      <c r="AK26" s="59">
        <f t="shared" si="27"/>
        <v>0</v>
      </c>
      <c r="AL26" s="59">
        <f t="shared" si="27"/>
        <v>0</v>
      </c>
      <c r="AM26" s="59">
        <f t="shared" si="27"/>
        <v>0</v>
      </c>
      <c r="AN26" s="59">
        <f t="shared" si="27"/>
        <v>0</v>
      </c>
      <c r="AO26" s="59">
        <f t="shared" si="27"/>
        <v>0</v>
      </c>
      <c r="AP26" s="59">
        <f t="shared" si="27"/>
        <v>0</v>
      </c>
      <c r="AQ26" s="59">
        <f t="shared" si="27"/>
        <v>0</v>
      </c>
      <c r="AR26" s="59">
        <f t="shared" si="27"/>
        <v>0</v>
      </c>
      <c r="AS26" s="59">
        <f t="shared" si="27"/>
        <v>0</v>
      </c>
      <c r="AT26" s="59">
        <f t="shared" si="27"/>
        <v>0</v>
      </c>
      <c r="AU26" s="59">
        <f t="shared" si="27"/>
        <v>0</v>
      </c>
      <c r="AV26" s="59">
        <f t="shared" si="27"/>
        <v>0</v>
      </c>
      <c r="AW26" s="59">
        <f t="shared" si="27"/>
        <v>0</v>
      </c>
      <c r="AX26" s="59">
        <f t="shared" si="27"/>
        <v>0</v>
      </c>
      <c r="AY26" s="59">
        <f t="shared" si="27"/>
        <v>0</v>
      </c>
      <c r="AZ26" s="59">
        <f t="shared" si="27"/>
        <v>0</v>
      </c>
      <c r="BA26" s="59">
        <f t="shared" si="27"/>
        <v>0</v>
      </c>
      <c r="BB26" s="59">
        <f t="shared" si="27"/>
        <v>0</v>
      </c>
      <c r="BC26" s="59">
        <f t="shared" si="27"/>
        <v>0</v>
      </c>
      <c r="BD26" s="59">
        <f t="shared" si="27"/>
        <v>0</v>
      </c>
      <c r="BE26" s="59">
        <f t="shared" si="27"/>
        <v>0</v>
      </c>
      <c r="BF26" s="59">
        <f t="shared" si="27"/>
        <v>0</v>
      </c>
      <c r="BG26" s="59">
        <f t="shared" si="27"/>
        <v>0</v>
      </c>
      <c r="BH26" s="59">
        <f t="shared" si="27"/>
        <v>0</v>
      </c>
      <c r="BI26" s="59">
        <f t="shared" si="27"/>
        <v>0</v>
      </c>
      <c r="BJ26" s="59">
        <f t="shared" si="27"/>
        <v>0</v>
      </c>
      <c r="BK26" s="59">
        <f t="shared" si="27"/>
        <v>0</v>
      </c>
      <c r="BL26" s="59">
        <f t="shared" si="27"/>
        <v>0</v>
      </c>
      <c r="BM26" s="59">
        <f t="shared" si="27"/>
        <v>0</v>
      </c>
      <c r="BN26" s="59">
        <f t="shared" si="27"/>
        <v>0</v>
      </c>
      <c r="BO26" s="59">
        <f t="shared" si="27"/>
        <v>0</v>
      </c>
      <c r="BP26" s="59">
        <f t="shared" si="27"/>
        <v>0</v>
      </c>
      <c r="BQ26" s="59">
        <f t="shared" si="27"/>
        <v>0</v>
      </c>
      <c r="BR26" s="59">
        <f t="shared" si="27"/>
        <v>0</v>
      </c>
      <c r="BS26" s="59">
        <f t="shared" si="27"/>
        <v>0</v>
      </c>
      <c r="BT26" s="59">
        <f t="shared" si="27"/>
        <v>0</v>
      </c>
      <c r="BU26" s="59">
        <f t="shared" si="27"/>
        <v>0</v>
      </c>
      <c r="BV26" s="59">
        <f t="shared" si="27"/>
        <v>0</v>
      </c>
      <c r="BW26" s="59">
        <f t="shared" si="27"/>
        <v>0</v>
      </c>
      <c r="BX26" s="59">
        <f t="shared" si="27"/>
        <v>0</v>
      </c>
      <c r="BY26" s="59">
        <f t="shared" si="27"/>
        <v>0</v>
      </c>
      <c r="BZ26" s="59">
        <f t="shared" si="27"/>
        <v>0</v>
      </c>
      <c r="CA26" s="59">
        <f t="shared" si="27"/>
        <v>0</v>
      </c>
      <c r="CB26" s="59">
        <f t="shared" si="27"/>
        <v>0</v>
      </c>
      <c r="CC26" s="59">
        <f t="shared" si="27"/>
        <v>0</v>
      </c>
      <c r="CD26" s="59">
        <f t="shared" si="27"/>
        <v>0</v>
      </c>
      <c r="CE26" s="59">
        <f t="shared" si="27"/>
        <v>0</v>
      </c>
      <c r="CF26" s="59">
        <f t="shared" si="27"/>
        <v>0</v>
      </c>
      <c r="CG26" s="59">
        <f t="shared" si="27"/>
        <v>0</v>
      </c>
      <c r="CH26" s="59">
        <f t="shared" si="27"/>
        <v>0</v>
      </c>
      <c r="CI26" s="59">
        <f t="shared" si="27"/>
        <v>0</v>
      </c>
      <c r="CJ26" s="59">
        <f t="shared" ref="CJ26:DB26" si="28">+-(CJ138*$D$119+CJ139*$D$120/$U$139+CJ140*$D$121)</f>
        <v>0</v>
      </c>
      <c r="CK26" s="59">
        <f t="shared" si="28"/>
        <v>0</v>
      </c>
      <c r="CL26" s="59">
        <f t="shared" si="28"/>
        <v>0</v>
      </c>
      <c r="CM26" s="59">
        <f t="shared" si="28"/>
        <v>0</v>
      </c>
      <c r="CN26" s="59">
        <f t="shared" si="28"/>
        <v>0</v>
      </c>
      <c r="CO26" s="59">
        <f t="shared" si="28"/>
        <v>0</v>
      </c>
      <c r="CP26" s="59">
        <f t="shared" si="28"/>
        <v>0</v>
      </c>
      <c r="CQ26" s="59">
        <f t="shared" si="28"/>
        <v>0</v>
      </c>
      <c r="CR26" s="59">
        <f t="shared" si="28"/>
        <v>0</v>
      </c>
      <c r="CS26" s="59">
        <f t="shared" si="28"/>
        <v>0</v>
      </c>
      <c r="CT26" s="59">
        <f t="shared" si="28"/>
        <v>0</v>
      </c>
      <c r="CU26" s="59">
        <f t="shared" si="28"/>
        <v>0</v>
      </c>
      <c r="CV26" s="59">
        <f t="shared" si="28"/>
        <v>0</v>
      </c>
      <c r="CW26" s="59">
        <f t="shared" si="28"/>
        <v>0</v>
      </c>
      <c r="CX26" s="59">
        <f t="shared" si="28"/>
        <v>0</v>
      </c>
      <c r="CY26" s="59">
        <f t="shared" si="28"/>
        <v>0</v>
      </c>
      <c r="CZ26" s="59">
        <f t="shared" si="28"/>
        <v>0</v>
      </c>
      <c r="DA26" s="59">
        <f t="shared" si="28"/>
        <v>0</v>
      </c>
      <c r="DB26" s="59">
        <f t="shared" si="28"/>
        <v>0</v>
      </c>
      <c r="DC26" s="21" t="s">
        <v>11</v>
      </c>
    </row>
    <row r="27" spans="2:107">
      <c r="G27" s="9">
        <f>6280*145</f>
        <v>910600</v>
      </c>
      <c r="I27" s="68" t="s">
        <v>73</v>
      </c>
      <c r="J27" s="68"/>
      <c r="K27" s="68"/>
      <c r="L27" s="68"/>
      <c r="M27" s="68"/>
      <c r="N27" s="68"/>
      <c r="O27" s="99"/>
      <c r="P27" s="100">
        <f>+SUM(P25:P26)</f>
        <v>-29344.743333333347</v>
      </c>
      <c r="T27" s="57" t="s">
        <v>74</v>
      </c>
      <c r="U27" s="58">
        <f t="shared" si="22"/>
        <v>0</v>
      </c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59"/>
      <c r="BE27" s="59"/>
      <c r="BF27" s="59"/>
      <c r="BG27" s="59"/>
      <c r="BH27" s="59"/>
      <c r="BI27" s="59"/>
      <c r="BJ27" s="59"/>
      <c r="BK27" s="59"/>
      <c r="BL27" s="59"/>
      <c r="BM27" s="59"/>
      <c r="BN27" s="59"/>
      <c r="BO27" s="59"/>
      <c r="BP27" s="59"/>
      <c r="BQ27" s="59"/>
      <c r="BR27" s="59"/>
      <c r="BS27" s="59"/>
      <c r="BT27" s="59"/>
      <c r="BU27" s="59"/>
      <c r="BV27" s="59"/>
      <c r="BW27" s="59"/>
      <c r="BX27" s="59"/>
      <c r="BY27" s="59"/>
      <c r="BZ27" s="59"/>
      <c r="CA27" s="59"/>
      <c r="CB27" s="59"/>
      <c r="CC27" s="59"/>
      <c r="CD27" s="59"/>
      <c r="CE27" s="59"/>
      <c r="CF27" s="59"/>
      <c r="CG27" s="59"/>
      <c r="CH27" s="59"/>
      <c r="CI27" s="59"/>
      <c r="CJ27" s="59"/>
      <c r="CK27" s="59"/>
      <c r="CL27" s="59"/>
      <c r="CM27" s="59"/>
      <c r="CN27" s="59"/>
      <c r="CO27" s="59"/>
      <c r="CP27" s="59"/>
      <c r="CQ27" s="59"/>
      <c r="CR27" s="59"/>
      <c r="CS27" s="59"/>
      <c r="CT27" s="59"/>
      <c r="CU27" s="59"/>
      <c r="CV27" s="59"/>
      <c r="CW27" s="59"/>
      <c r="CX27" s="59"/>
      <c r="CY27" s="59"/>
      <c r="CZ27" s="59"/>
      <c r="DA27" s="59"/>
      <c r="DB27" s="59"/>
      <c r="DC27" s="21" t="s">
        <v>11</v>
      </c>
    </row>
    <row r="28" spans="2:107">
      <c r="B28" s="3" t="s">
        <v>75</v>
      </c>
      <c r="C28" s="3"/>
      <c r="D28" s="3"/>
      <c r="E28" s="3"/>
      <c r="F28" s="3"/>
      <c r="G28" s="3"/>
      <c r="T28" s="57" t="s">
        <v>76</v>
      </c>
      <c r="U28" s="58">
        <f t="shared" si="22"/>
        <v>-16000</v>
      </c>
      <c r="V28" s="59">
        <f t="shared" ref="V28:CG28" si="29">-+$E$58/$U$134*V134</f>
        <v>0</v>
      </c>
      <c r="W28" s="59">
        <f t="shared" si="29"/>
        <v>0</v>
      </c>
      <c r="X28" s="59">
        <f t="shared" si="29"/>
        <v>0</v>
      </c>
      <c r="Y28" s="59">
        <f t="shared" si="29"/>
        <v>0</v>
      </c>
      <c r="Z28" s="59">
        <f t="shared" si="29"/>
        <v>-8000</v>
      </c>
      <c r="AA28" s="59">
        <f t="shared" si="29"/>
        <v>-8000</v>
      </c>
      <c r="AB28" s="59">
        <f t="shared" si="29"/>
        <v>0</v>
      </c>
      <c r="AC28" s="59">
        <f t="shared" si="29"/>
        <v>0</v>
      </c>
      <c r="AD28" s="59">
        <f t="shared" si="29"/>
        <v>0</v>
      </c>
      <c r="AE28" s="59">
        <f t="shared" si="29"/>
        <v>0</v>
      </c>
      <c r="AF28" s="59">
        <f t="shared" si="29"/>
        <v>0</v>
      </c>
      <c r="AG28" s="59">
        <f t="shared" si="29"/>
        <v>0</v>
      </c>
      <c r="AH28" s="59">
        <f t="shared" si="29"/>
        <v>0</v>
      </c>
      <c r="AI28" s="59">
        <f t="shared" si="29"/>
        <v>0</v>
      </c>
      <c r="AJ28" s="59">
        <f t="shared" si="29"/>
        <v>0</v>
      </c>
      <c r="AK28" s="59">
        <f t="shared" si="29"/>
        <v>0</v>
      </c>
      <c r="AL28" s="59">
        <f t="shared" si="29"/>
        <v>0</v>
      </c>
      <c r="AM28" s="59">
        <f t="shared" si="29"/>
        <v>0</v>
      </c>
      <c r="AN28" s="59">
        <f t="shared" si="29"/>
        <v>0</v>
      </c>
      <c r="AO28" s="59">
        <f t="shared" si="29"/>
        <v>0</v>
      </c>
      <c r="AP28" s="59">
        <f t="shared" si="29"/>
        <v>0</v>
      </c>
      <c r="AQ28" s="59">
        <f t="shared" si="29"/>
        <v>0</v>
      </c>
      <c r="AR28" s="59">
        <f t="shared" si="29"/>
        <v>0</v>
      </c>
      <c r="AS28" s="59">
        <f t="shared" si="29"/>
        <v>0</v>
      </c>
      <c r="AT28" s="59">
        <f t="shared" si="29"/>
        <v>0</v>
      </c>
      <c r="AU28" s="59">
        <f t="shared" si="29"/>
        <v>0</v>
      </c>
      <c r="AV28" s="59">
        <f t="shared" si="29"/>
        <v>0</v>
      </c>
      <c r="AW28" s="59">
        <f t="shared" si="29"/>
        <v>0</v>
      </c>
      <c r="AX28" s="59">
        <f t="shared" si="29"/>
        <v>0</v>
      </c>
      <c r="AY28" s="59">
        <f t="shared" si="29"/>
        <v>0</v>
      </c>
      <c r="AZ28" s="59">
        <f t="shared" si="29"/>
        <v>0</v>
      </c>
      <c r="BA28" s="59">
        <f t="shared" si="29"/>
        <v>0</v>
      </c>
      <c r="BB28" s="59">
        <f t="shared" si="29"/>
        <v>0</v>
      </c>
      <c r="BC28" s="59">
        <f t="shared" si="29"/>
        <v>0</v>
      </c>
      <c r="BD28" s="59">
        <f t="shared" si="29"/>
        <v>0</v>
      </c>
      <c r="BE28" s="59">
        <f t="shared" si="29"/>
        <v>0</v>
      </c>
      <c r="BF28" s="59">
        <f t="shared" si="29"/>
        <v>0</v>
      </c>
      <c r="BG28" s="59">
        <f t="shared" si="29"/>
        <v>0</v>
      </c>
      <c r="BH28" s="59">
        <f t="shared" si="29"/>
        <v>0</v>
      </c>
      <c r="BI28" s="59">
        <f t="shared" si="29"/>
        <v>0</v>
      </c>
      <c r="BJ28" s="59">
        <f t="shared" si="29"/>
        <v>0</v>
      </c>
      <c r="BK28" s="59">
        <f t="shared" si="29"/>
        <v>0</v>
      </c>
      <c r="BL28" s="59">
        <f t="shared" si="29"/>
        <v>0</v>
      </c>
      <c r="BM28" s="59">
        <f t="shared" si="29"/>
        <v>0</v>
      </c>
      <c r="BN28" s="59">
        <f t="shared" si="29"/>
        <v>0</v>
      </c>
      <c r="BO28" s="59">
        <f t="shared" si="29"/>
        <v>0</v>
      </c>
      <c r="BP28" s="59">
        <f t="shared" si="29"/>
        <v>0</v>
      </c>
      <c r="BQ28" s="59">
        <f t="shared" si="29"/>
        <v>0</v>
      </c>
      <c r="BR28" s="59">
        <f t="shared" si="29"/>
        <v>0</v>
      </c>
      <c r="BS28" s="59">
        <f t="shared" si="29"/>
        <v>0</v>
      </c>
      <c r="BT28" s="59">
        <f t="shared" si="29"/>
        <v>0</v>
      </c>
      <c r="BU28" s="59">
        <f t="shared" si="29"/>
        <v>0</v>
      </c>
      <c r="BV28" s="59">
        <f t="shared" si="29"/>
        <v>0</v>
      </c>
      <c r="BW28" s="59">
        <f t="shared" si="29"/>
        <v>0</v>
      </c>
      <c r="BX28" s="59">
        <f t="shared" si="29"/>
        <v>0</v>
      </c>
      <c r="BY28" s="59">
        <f t="shared" si="29"/>
        <v>0</v>
      </c>
      <c r="BZ28" s="59">
        <f t="shared" si="29"/>
        <v>0</v>
      </c>
      <c r="CA28" s="59">
        <f t="shared" si="29"/>
        <v>0</v>
      </c>
      <c r="CB28" s="59">
        <f t="shared" si="29"/>
        <v>0</v>
      </c>
      <c r="CC28" s="59">
        <f t="shared" si="29"/>
        <v>0</v>
      </c>
      <c r="CD28" s="59">
        <f t="shared" si="29"/>
        <v>0</v>
      </c>
      <c r="CE28" s="59">
        <f t="shared" si="29"/>
        <v>0</v>
      </c>
      <c r="CF28" s="59">
        <f t="shared" si="29"/>
        <v>0</v>
      </c>
      <c r="CG28" s="59">
        <f t="shared" si="29"/>
        <v>0</v>
      </c>
      <c r="CH28" s="59">
        <f t="shared" ref="CH28:DB28" si="30">-+$E$58/$U$134*CH134</f>
        <v>0</v>
      </c>
      <c r="CI28" s="59">
        <f t="shared" si="30"/>
        <v>0</v>
      </c>
      <c r="CJ28" s="59">
        <f t="shared" si="30"/>
        <v>0</v>
      </c>
      <c r="CK28" s="59">
        <f t="shared" si="30"/>
        <v>0</v>
      </c>
      <c r="CL28" s="59">
        <f t="shared" si="30"/>
        <v>0</v>
      </c>
      <c r="CM28" s="59">
        <f t="shared" si="30"/>
        <v>0</v>
      </c>
      <c r="CN28" s="59">
        <f t="shared" si="30"/>
        <v>0</v>
      </c>
      <c r="CO28" s="59">
        <f t="shared" si="30"/>
        <v>0</v>
      </c>
      <c r="CP28" s="59">
        <f t="shared" si="30"/>
        <v>0</v>
      </c>
      <c r="CQ28" s="59">
        <f t="shared" si="30"/>
        <v>0</v>
      </c>
      <c r="CR28" s="59">
        <f t="shared" si="30"/>
        <v>0</v>
      </c>
      <c r="CS28" s="59">
        <f t="shared" si="30"/>
        <v>0</v>
      </c>
      <c r="CT28" s="59">
        <f t="shared" si="30"/>
        <v>0</v>
      </c>
      <c r="CU28" s="59">
        <f t="shared" si="30"/>
        <v>0</v>
      </c>
      <c r="CV28" s="59">
        <f t="shared" si="30"/>
        <v>0</v>
      </c>
      <c r="CW28" s="59">
        <f t="shared" si="30"/>
        <v>0</v>
      </c>
      <c r="CX28" s="59">
        <f t="shared" si="30"/>
        <v>0</v>
      </c>
      <c r="CY28" s="59">
        <f t="shared" si="30"/>
        <v>0</v>
      </c>
      <c r="CZ28" s="59">
        <f t="shared" si="30"/>
        <v>0</v>
      </c>
      <c r="DA28" s="59">
        <f t="shared" si="30"/>
        <v>0</v>
      </c>
      <c r="DB28" s="59">
        <f t="shared" si="30"/>
        <v>0</v>
      </c>
      <c r="DC28" s="21" t="s">
        <v>11</v>
      </c>
    </row>
    <row r="29" spans="2:107">
      <c r="B29" s="17" t="s">
        <v>77</v>
      </c>
      <c r="C29" s="18"/>
      <c r="D29" s="18"/>
      <c r="E29" s="18"/>
      <c r="F29" s="18"/>
      <c r="G29" s="18"/>
      <c r="I29" s="71" t="s">
        <v>78</v>
      </c>
      <c r="J29" s="18"/>
      <c r="K29" s="18"/>
      <c r="L29" s="18"/>
      <c r="M29" s="18"/>
      <c r="N29" s="18"/>
      <c r="O29" s="18"/>
      <c r="P29" s="18"/>
      <c r="T29" s="62" t="str">
        <f>+B59</f>
        <v>Otros reforma</v>
      </c>
      <c r="U29" s="58">
        <f t="shared" si="22"/>
        <v>-10210.02</v>
      </c>
      <c r="V29" s="64">
        <f>+-(V8=$P$121)*$E$59</f>
        <v>0</v>
      </c>
      <c r="W29" s="64">
        <f t="shared" ref="W29:CH29" si="31">+-(W8=$P$121)*$E$59</f>
        <v>0</v>
      </c>
      <c r="X29" s="64">
        <f t="shared" si="31"/>
        <v>0</v>
      </c>
      <c r="Y29" s="64">
        <f t="shared" si="31"/>
        <v>0</v>
      </c>
      <c r="Z29" s="64">
        <f t="shared" si="31"/>
        <v>0</v>
      </c>
      <c r="AA29" s="64">
        <f t="shared" si="31"/>
        <v>-10210.02</v>
      </c>
      <c r="AB29" s="64">
        <f t="shared" si="31"/>
        <v>0</v>
      </c>
      <c r="AC29" s="64">
        <f t="shared" si="31"/>
        <v>0</v>
      </c>
      <c r="AD29" s="64">
        <f t="shared" si="31"/>
        <v>0</v>
      </c>
      <c r="AE29" s="64">
        <f t="shared" si="31"/>
        <v>0</v>
      </c>
      <c r="AF29" s="64">
        <f t="shared" si="31"/>
        <v>0</v>
      </c>
      <c r="AG29" s="64">
        <f t="shared" si="31"/>
        <v>0</v>
      </c>
      <c r="AH29" s="64">
        <f t="shared" si="31"/>
        <v>0</v>
      </c>
      <c r="AI29" s="64">
        <f t="shared" si="31"/>
        <v>0</v>
      </c>
      <c r="AJ29" s="64">
        <f t="shared" si="31"/>
        <v>0</v>
      </c>
      <c r="AK29" s="64">
        <f t="shared" si="31"/>
        <v>0</v>
      </c>
      <c r="AL29" s="64">
        <f t="shared" si="31"/>
        <v>0</v>
      </c>
      <c r="AM29" s="64">
        <f t="shared" si="31"/>
        <v>0</v>
      </c>
      <c r="AN29" s="64">
        <f t="shared" si="31"/>
        <v>0</v>
      </c>
      <c r="AO29" s="64">
        <f t="shared" si="31"/>
        <v>0</v>
      </c>
      <c r="AP29" s="64">
        <f t="shared" si="31"/>
        <v>0</v>
      </c>
      <c r="AQ29" s="64">
        <f t="shared" si="31"/>
        <v>0</v>
      </c>
      <c r="AR29" s="64">
        <f t="shared" si="31"/>
        <v>0</v>
      </c>
      <c r="AS29" s="64">
        <f t="shared" si="31"/>
        <v>0</v>
      </c>
      <c r="AT29" s="64">
        <f t="shared" si="31"/>
        <v>0</v>
      </c>
      <c r="AU29" s="64">
        <f t="shared" si="31"/>
        <v>0</v>
      </c>
      <c r="AV29" s="64">
        <f t="shared" si="31"/>
        <v>0</v>
      </c>
      <c r="AW29" s="64">
        <f t="shared" si="31"/>
        <v>0</v>
      </c>
      <c r="AX29" s="64">
        <f t="shared" si="31"/>
        <v>0</v>
      </c>
      <c r="AY29" s="64">
        <f t="shared" si="31"/>
        <v>0</v>
      </c>
      <c r="AZ29" s="64">
        <f t="shared" si="31"/>
        <v>0</v>
      </c>
      <c r="BA29" s="64">
        <f t="shared" si="31"/>
        <v>0</v>
      </c>
      <c r="BB29" s="64">
        <f t="shared" si="31"/>
        <v>0</v>
      </c>
      <c r="BC29" s="64">
        <f t="shared" si="31"/>
        <v>0</v>
      </c>
      <c r="BD29" s="64">
        <f t="shared" si="31"/>
        <v>0</v>
      </c>
      <c r="BE29" s="64">
        <f t="shared" si="31"/>
        <v>0</v>
      </c>
      <c r="BF29" s="64">
        <f t="shared" si="31"/>
        <v>0</v>
      </c>
      <c r="BG29" s="64">
        <f t="shared" si="31"/>
        <v>0</v>
      </c>
      <c r="BH29" s="64">
        <f t="shared" si="31"/>
        <v>0</v>
      </c>
      <c r="BI29" s="64">
        <f t="shared" si="31"/>
        <v>0</v>
      </c>
      <c r="BJ29" s="64">
        <f t="shared" si="31"/>
        <v>0</v>
      </c>
      <c r="BK29" s="64">
        <f t="shared" si="31"/>
        <v>0</v>
      </c>
      <c r="BL29" s="64">
        <f t="shared" si="31"/>
        <v>0</v>
      </c>
      <c r="BM29" s="64">
        <f t="shared" si="31"/>
        <v>0</v>
      </c>
      <c r="BN29" s="64">
        <f t="shared" si="31"/>
        <v>0</v>
      </c>
      <c r="BO29" s="64">
        <f t="shared" si="31"/>
        <v>0</v>
      </c>
      <c r="BP29" s="64">
        <f t="shared" si="31"/>
        <v>0</v>
      </c>
      <c r="BQ29" s="64">
        <f t="shared" si="31"/>
        <v>0</v>
      </c>
      <c r="BR29" s="64">
        <f t="shared" si="31"/>
        <v>0</v>
      </c>
      <c r="BS29" s="64">
        <f t="shared" si="31"/>
        <v>0</v>
      </c>
      <c r="BT29" s="64">
        <f t="shared" si="31"/>
        <v>0</v>
      </c>
      <c r="BU29" s="64">
        <f t="shared" si="31"/>
        <v>0</v>
      </c>
      <c r="BV29" s="64">
        <f t="shared" si="31"/>
        <v>0</v>
      </c>
      <c r="BW29" s="64">
        <f t="shared" si="31"/>
        <v>0</v>
      </c>
      <c r="BX29" s="64">
        <f t="shared" si="31"/>
        <v>0</v>
      </c>
      <c r="BY29" s="64">
        <f t="shared" si="31"/>
        <v>0</v>
      </c>
      <c r="BZ29" s="64">
        <f t="shared" si="31"/>
        <v>0</v>
      </c>
      <c r="CA29" s="64">
        <f t="shared" si="31"/>
        <v>0</v>
      </c>
      <c r="CB29" s="64">
        <f t="shared" si="31"/>
        <v>0</v>
      </c>
      <c r="CC29" s="64">
        <f t="shared" si="31"/>
        <v>0</v>
      </c>
      <c r="CD29" s="64">
        <f t="shared" si="31"/>
        <v>0</v>
      </c>
      <c r="CE29" s="64">
        <f t="shared" si="31"/>
        <v>0</v>
      </c>
      <c r="CF29" s="64">
        <f t="shared" si="31"/>
        <v>0</v>
      </c>
      <c r="CG29" s="64">
        <f t="shared" si="31"/>
        <v>0</v>
      </c>
      <c r="CH29" s="64">
        <f t="shared" si="31"/>
        <v>0</v>
      </c>
      <c r="CI29" s="64">
        <f t="shared" ref="CI29:DB29" si="32">+-(CI8=$P$121)*$E$59</f>
        <v>0</v>
      </c>
      <c r="CJ29" s="64">
        <f t="shared" si="32"/>
        <v>0</v>
      </c>
      <c r="CK29" s="64">
        <f t="shared" si="32"/>
        <v>0</v>
      </c>
      <c r="CL29" s="64">
        <f t="shared" si="32"/>
        <v>0</v>
      </c>
      <c r="CM29" s="64">
        <f t="shared" si="32"/>
        <v>0</v>
      </c>
      <c r="CN29" s="64">
        <f t="shared" si="32"/>
        <v>0</v>
      </c>
      <c r="CO29" s="64">
        <f t="shared" si="32"/>
        <v>0</v>
      </c>
      <c r="CP29" s="64">
        <f t="shared" si="32"/>
        <v>0</v>
      </c>
      <c r="CQ29" s="64">
        <f t="shared" si="32"/>
        <v>0</v>
      </c>
      <c r="CR29" s="64">
        <f t="shared" si="32"/>
        <v>0</v>
      </c>
      <c r="CS29" s="64">
        <f t="shared" si="32"/>
        <v>0</v>
      </c>
      <c r="CT29" s="64">
        <f t="shared" si="32"/>
        <v>0</v>
      </c>
      <c r="CU29" s="64">
        <f t="shared" si="32"/>
        <v>0</v>
      </c>
      <c r="CV29" s="64">
        <f t="shared" si="32"/>
        <v>0</v>
      </c>
      <c r="CW29" s="64">
        <f t="shared" si="32"/>
        <v>0</v>
      </c>
      <c r="CX29" s="64">
        <f t="shared" si="32"/>
        <v>0</v>
      </c>
      <c r="CY29" s="64">
        <f t="shared" si="32"/>
        <v>0</v>
      </c>
      <c r="CZ29" s="64">
        <f t="shared" si="32"/>
        <v>0</v>
      </c>
      <c r="DA29" s="64">
        <f t="shared" si="32"/>
        <v>0</v>
      </c>
      <c r="DB29" s="64">
        <f t="shared" si="32"/>
        <v>0</v>
      </c>
      <c r="DC29" s="21" t="s">
        <v>11</v>
      </c>
    </row>
    <row r="30" spans="2:107">
      <c r="B30" s="101"/>
      <c r="C30" s="22" t="s">
        <v>79</v>
      </c>
      <c r="D30" s="22" t="s">
        <v>80</v>
      </c>
      <c r="E30" s="22" t="s">
        <v>81</v>
      </c>
      <c r="F30" s="22" t="s">
        <v>82</v>
      </c>
      <c r="G30" s="22" t="s">
        <v>83</v>
      </c>
      <c r="N30" s="22" t="s">
        <v>84</v>
      </c>
      <c r="O30" s="22" t="s">
        <v>85</v>
      </c>
      <c r="P30" s="22" t="s">
        <v>86</v>
      </c>
      <c r="T30" s="102" t="s">
        <v>87</v>
      </c>
      <c r="U30" s="88">
        <f>+SUM(V30:DB30)</f>
        <v>-180377.02000000002</v>
      </c>
      <c r="V30" s="89">
        <f>+SUM(V24:V29)</f>
        <v>0</v>
      </c>
      <c r="W30" s="89">
        <f t="shared" ref="W30:CH30" si="33">+SUM(W24:W29)</f>
        <v>0</v>
      </c>
      <c r="X30" s="89">
        <f t="shared" si="33"/>
        <v>-29047</v>
      </c>
      <c r="Y30" s="89">
        <f t="shared" si="33"/>
        <v>-55200</v>
      </c>
      <c r="Z30" s="89">
        <f t="shared" si="33"/>
        <v>-63200</v>
      </c>
      <c r="AA30" s="89">
        <f t="shared" si="33"/>
        <v>-32930.020000000004</v>
      </c>
      <c r="AB30" s="89">
        <f t="shared" si="33"/>
        <v>0</v>
      </c>
      <c r="AC30" s="89">
        <f t="shared" si="33"/>
        <v>0</v>
      </c>
      <c r="AD30" s="89">
        <f t="shared" si="33"/>
        <v>0</v>
      </c>
      <c r="AE30" s="89">
        <f t="shared" si="33"/>
        <v>0</v>
      </c>
      <c r="AF30" s="89">
        <f t="shared" si="33"/>
        <v>0</v>
      </c>
      <c r="AG30" s="89">
        <f t="shared" si="33"/>
        <v>0</v>
      </c>
      <c r="AH30" s="89">
        <f t="shared" si="33"/>
        <v>0</v>
      </c>
      <c r="AI30" s="89">
        <f t="shared" si="33"/>
        <v>0</v>
      </c>
      <c r="AJ30" s="89">
        <f t="shared" si="33"/>
        <v>0</v>
      </c>
      <c r="AK30" s="89">
        <f t="shared" si="33"/>
        <v>0</v>
      </c>
      <c r="AL30" s="89">
        <f t="shared" si="33"/>
        <v>0</v>
      </c>
      <c r="AM30" s="89">
        <f t="shared" si="33"/>
        <v>0</v>
      </c>
      <c r="AN30" s="89">
        <f t="shared" si="33"/>
        <v>0</v>
      </c>
      <c r="AO30" s="89">
        <f t="shared" si="33"/>
        <v>0</v>
      </c>
      <c r="AP30" s="89">
        <f t="shared" si="33"/>
        <v>0</v>
      </c>
      <c r="AQ30" s="89">
        <f t="shared" si="33"/>
        <v>0</v>
      </c>
      <c r="AR30" s="89">
        <f t="shared" si="33"/>
        <v>0</v>
      </c>
      <c r="AS30" s="89">
        <f t="shared" si="33"/>
        <v>0</v>
      </c>
      <c r="AT30" s="89">
        <f t="shared" si="33"/>
        <v>0</v>
      </c>
      <c r="AU30" s="89">
        <f t="shared" si="33"/>
        <v>0</v>
      </c>
      <c r="AV30" s="89">
        <f t="shared" si="33"/>
        <v>0</v>
      </c>
      <c r="AW30" s="89">
        <f t="shared" si="33"/>
        <v>0</v>
      </c>
      <c r="AX30" s="89">
        <f t="shared" si="33"/>
        <v>0</v>
      </c>
      <c r="AY30" s="89">
        <f t="shared" si="33"/>
        <v>0</v>
      </c>
      <c r="AZ30" s="89">
        <f t="shared" si="33"/>
        <v>0</v>
      </c>
      <c r="BA30" s="89">
        <f t="shared" si="33"/>
        <v>0</v>
      </c>
      <c r="BB30" s="89">
        <f t="shared" si="33"/>
        <v>0</v>
      </c>
      <c r="BC30" s="89">
        <f t="shared" si="33"/>
        <v>0</v>
      </c>
      <c r="BD30" s="89">
        <f t="shared" si="33"/>
        <v>0</v>
      </c>
      <c r="BE30" s="89">
        <f t="shared" si="33"/>
        <v>0</v>
      </c>
      <c r="BF30" s="89">
        <f t="shared" si="33"/>
        <v>0</v>
      </c>
      <c r="BG30" s="89">
        <f t="shared" si="33"/>
        <v>0</v>
      </c>
      <c r="BH30" s="89">
        <f t="shared" si="33"/>
        <v>0</v>
      </c>
      <c r="BI30" s="89">
        <f t="shared" si="33"/>
        <v>0</v>
      </c>
      <c r="BJ30" s="89">
        <f t="shared" si="33"/>
        <v>0</v>
      </c>
      <c r="BK30" s="89">
        <f t="shared" si="33"/>
        <v>0</v>
      </c>
      <c r="BL30" s="89">
        <f t="shared" si="33"/>
        <v>0</v>
      </c>
      <c r="BM30" s="89">
        <f t="shared" si="33"/>
        <v>0</v>
      </c>
      <c r="BN30" s="89">
        <f t="shared" si="33"/>
        <v>0</v>
      </c>
      <c r="BO30" s="89">
        <f t="shared" si="33"/>
        <v>0</v>
      </c>
      <c r="BP30" s="89">
        <f t="shared" si="33"/>
        <v>0</v>
      </c>
      <c r="BQ30" s="89">
        <f t="shared" si="33"/>
        <v>0</v>
      </c>
      <c r="BR30" s="89">
        <f t="shared" si="33"/>
        <v>0</v>
      </c>
      <c r="BS30" s="89">
        <f t="shared" si="33"/>
        <v>0</v>
      </c>
      <c r="BT30" s="89">
        <f t="shared" si="33"/>
        <v>0</v>
      </c>
      <c r="BU30" s="89">
        <f t="shared" si="33"/>
        <v>0</v>
      </c>
      <c r="BV30" s="89">
        <f t="shared" si="33"/>
        <v>0</v>
      </c>
      <c r="BW30" s="89">
        <f t="shared" si="33"/>
        <v>0</v>
      </c>
      <c r="BX30" s="89">
        <f t="shared" si="33"/>
        <v>0</v>
      </c>
      <c r="BY30" s="89">
        <f t="shared" si="33"/>
        <v>0</v>
      </c>
      <c r="BZ30" s="89">
        <f t="shared" si="33"/>
        <v>0</v>
      </c>
      <c r="CA30" s="89">
        <f t="shared" si="33"/>
        <v>0</v>
      </c>
      <c r="CB30" s="89">
        <f t="shared" si="33"/>
        <v>0</v>
      </c>
      <c r="CC30" s="89">
        <f t="shared" si="33"/>
        <v>0</v>
      </c>
      <c r="CD30" s="89">
        <f t="shared" si="33"/>
        <v>0</v>
      </c>
      <c r="CE30" s="89">
        <f t="shared" si="33"/>
        <v>0</v>
      </c>
      <c r="CF30" s="89">
        <f t="shared" si="33"/>
        <v>0</v>
      </c>
      <c r="CG30" s="89">
        <f t="shared" si="33"/>
        <v>0</v>
      </c>
      <c r="CH30" s="89">
        <f t="shared" si="33"/>
        <v>0</v>
      </c>
      <c r="CI30" s="89">
        <f t="shared" ref="CI30:DB30" si="34">+SUM(CI24:CI29)</f>
        <v>0</v>
      </c>
      <c r="CJ30" s="89">
        <f t="shared" si="34"/>
        <v>0</v>
      </c>
      <c r="CK30" s="89">
        <f t="shared" si="34"/>
        <v>0</v>
      </c>
      <c r="CL30" s="89">
        <f t="shared" si="34"/>
        <v>0</v>
      </c>
      <c r="CM30" s="89">
        <f t="shared" si="34"/>
        <v>0</v>
      </c>
      <c r="CN30" s="89">
        <f t="shared" si="34"/>
        <v>0</v>
      </c>
      <c r="CO30" s="89">
        <f t="shared" si="34"/>
        <v>0</v>
      </c>
      <c r="CP30" s="89">
        <f t="shared" si="34"/>
        <v>0</v>
      </c>
      <c r="CQ30" s="89">
        <f t="shared" si="34"/>
        <v>0</v>
      </c>
      <c r="CR30" s="89">
        <f t="shared" si="34"/>
        <v>0</v>
      </c>
      <c r="CS30" s="89">
        <f t="shared" si="34"/>
        <v>0</v>
      </c>
      <c r="CT30" s="89">
        <f t="shared" si="34"/>
        <v>0</v>
      </c>
      <c r="CU30" s="89">
        <f t="shared" si="34"/>
        <v>0</v>
      </c>
      <c r="CV30" s="89">
        <f t="shared" si="34"/>
        <v>0</v>
      </c>
      <c r="CW30" s="89">
        <f t="shared" si="34"/>
        <v>0</v>
      </c>
      <c r="CX30" s="89">
        <f t="shared" si="34"/>
        <v>0</v>
      </c>
      <c r="CY30" s="89">
        <f t="shared" si="34"/>
        <v>0</v>
      </c>
      <c r="CZ30" s="89">
        <f t="shared" si="34"/>
        <v>0</v>
      </c>
      <c r="DA30" s="89">
        <f t="shared" si="34"/>
        <v>0</v>
      </c>
      <c r="DB30" s="89">
        <f t="shared" si="34"/>
        <v>0</v>
      </c>
      <c r="DC30" s="21" t="s">
        <v>11</v>
      </c>
    </row>
    <row r="31" spans="2:107">
      <c r="B31" s="9" t="s">
        <v>88</v>
      </c>
      <c r="C31" s="103">
        <v>6132.8125</v>
      </c>
      <c r="D31" s="25">
        <f>+D22</f>
        <v>128</v>
      </c>
      <c r="E31" s="100">
        <f>+C31*D31</f>
        <v>785000</v>
      </c>
      <c r="F31" s="61">
        <f t="shared" ref="F31:F40" si="35">+E31/$E$41</f>
        <v>0.91062425903026056</v>
      </c>
      <c r="G31" s="61">
        <f t="shared" ref="G31:G40" si="36">+E31/$E$69</f>
        <v>0.74756705966981229</v>
      </c>
      <c r="I31" s="39" t="s">
        <v>89</v>
      </c>
      <c r="N31" s="24">
        <v>0.35</v>
      </c>
      <c r="O31" s="24">
        <v>0.12</v>
      </c>
      <c r="P31" s="59">
        <f>+-U89</f>
        <v>14255.393107577214</v>
      </c>
      <c r="DC31" s="21" t="s">
        <v>11</v>
      </c>
    </row>
    <row r="32" spans="2:107">
      <c r="B32" s="9" t="s">
        <v>90</v>
      </c>
      <c r="C32" s="60">
        <v>0</v>
      </c>
      <c r="D32" s="60">
        <v>0</v>
      </c>
      <c r="E32" s="25">
        <f>+D32*C32</f>
        <v>0</v>
      </c>
      <c r="F32" s="61">
        <f t="shared" si="35"/>
        <v>0</v>
      </c>
      <c r="G32" s="61">
        <f t="shared" si="36"/>
        <v>0</v>
      </c>
      <c r="I32" s="9" t="s">
        <v>91</v>
      </c>
      <c r="N32" s="65"/>
      <c r="O32" s="24"/>
      <c r="T32" s="86" t="s">
        <v>92</v>
      </c>
      <c r="U32" s="88">
        <f>+SUM(V32:DB32)</f>
        <v>-3000</v>
      </c>
      <c r="V32" s="89">
        <f>+(-$E$62*V143/$U$143)</f>
        <v>0</v>
      </c>
      <c r="W32" s="89">
        <f>+(-$E$62*W143/$U$143)</f>
        <v>0</v>
      </c>
      <c r="X32" s="89">
        <f t="shared" ref="X32:CI32" si="37">+(-$E$62*X143/$U$143)</f>
        <v>0</v>
      </c>
      <c r="Y32" s="89">
        <f t="shared" si="37"/>
        <v>-1000</v>
      </c>
      <c r="Z32" s="89">
        <f t="shared" si="37"/>
        <v>-1000</v>
      </c>
      <c r="AA32" s="89">
        <f t="shared" si="37"/>
        <v>-1000</v>
      </c>
      <c r="AB32" s="89">
        <f t="shared" si="37"/>
        <v>0</v>
      </c>
      <c r="AC32" s="89">
        <f t="shared" si="37"/>
        <v>0</v>
      </c>
      <c r="AD32" s="89">
        <f t="shared" si="37"/>
        <v>0</v>
      </c>
      <c r="AE32" s="89">
        <f t="shared" si="37"/>
        <v>0</v>
      </c>
      <c r="AF32" s="89">
        <f t="shared" si="37"/>
        <v>0</v>
      </c>
      <c r="AG32" s="89">
        <f t="shared" si="37"/>
        <v>0</v>
      </c>
      <c r="AH32" s="89">
        <f t="shared" si="37"/>
        <v>0</v>
      </c>
      <c r="AI32" s="89">
        <f t="shared" si="37"/>
        <v>0</v>
      </c>
      <c r="AJ32" s="89">
        <f t="shared" si="37"/>
        <v>0</v>
      </c>
      <c r="AK32" s="89">
        <f t="shared" si="37"/>
        <v>0</v>
      </c>
      <c r="AL32" s="89">
        <f t="shared" si="37"/>
        <v>0</v>
      </c>
      <c r="AM32" s="89">
        <f t="shared" si="37"/>
        <v>0</v>
      </c>
      <c r="AN32" s="89">
        <f t="shared" si="37"/>
        <v>0</v>
      </c>
      <c r="AO32" s="89">
        <f t="shared" si="37"/>
        <v>0</v>
      </c>
      <c r="AP32" s="89">
        <f t="shared" si="37"/>
        <v>0</v>
      </c>
      <c r="AQ32" s="89">
        <f t="shared" si="37"/>
        <v>0</v>
      </c>
      <c r="AR32" s="89">
        <f t="shared" si="37"/>
        <v>0</v>
      </c>
      <c r="AS32" s="89">
        <f t="shared" si="37"/>
        <v>0</v>
      </c>
      <c r="AT32" s="89">
        <f t="shared" si="37"/>
        <v>0</v>
      </c>
      <c r="AU32" s="89">
        <f t="shared" si="37"/>
        <v>0</v>
      </c>
      <c r="AV32" s="89">
        <f t="shared" si="37"/>
        <v>0</v>
      </c>
      <c r="AW32" s="89">
        <f t="shared" si="37"/>
        <v>0</v>
      </c>
      <c r="AX32" s="89">
        <f t="shared" si="37"/>
        <v>0</v>
      </c>
      <c r="AY32" s="89">
        <f t="shared" si="37"/>
        <v>0</v>
      </c>
      <c r="AZ32" s="89">
        <f t="shared" si="37"/>
        <v>0</v>
      </c>
      <c r="BA32" s="89">
        <f t="shared" si="37"/>
        <v>0</v>
      </c>
      <c r="BB32" s="89">
        <f t="shared" si="37"/>
        <v>0</v>
      </c>
      <c r="BC32" s="89">
        <f t="shared" si="37"/>
        <v>0</v>
      </c>
      <c r="BD32" s="89">
        <f t="shared" si="37"/>
        <v>0</v>
      </c>
      <c r="BE32" s="89">
        <f t="shared" si="37"/>
        <v>0</v>
      </c>
      <c r="BF32" s="89">
        <f t="shared" si="37"/>
        <v>0</v>
      </c>
      <c r="BG32" s="89">
        <f t="shared" si="37"/>
        <v>0</v>
      </c>
      <c r="BH32" s="89">
        <f t="shared" si="37"/>
        <v>0</v>
      </c>
      <c r="BI32" s="89">
        <f t="shared" si="37"/>
        <v>0</v>
      </c>
      <c r="BJ32" s="89">
        <f t="shared" si="37"/>
        <v>0</v>
      </c>
      <c r="BK32" s="89">
        <f t="shared" si="37"/>
        <v>0</v>
      </c>
      <c r="BL32" s="89">
        <f t="shared" si="37"/>
        <v>0</v>
      </c>
      <c r="BM32" s="89">
        <f t="shared" si="37"/>
        <v>0</v>
      </c>
      <c r="BN32" s="89">
        <f t="shared" si="37"/>
        <v>0</v>
      </c>
      <c r="BO32" s="89">
        <f t="shared" si="37"/>
        <v>0</v>
      </c>
      <c r="BP32" s="89">
        <f t="shared" si="37"/>
        <v>0</v>
      </c>
      <c r="BQ32" s="89">
        <f t="shared" si="37"/>
        <v>0</v>
      </c>
      <c r="BR32" s="89">
        <f t="shared" si="37"/>
        <v>0</v>
      </c>
      <c r="BS32" s="89">
        <f t="shared" si="37"/>
        <v>0</v>
      </c>
      <c r="BT32" s="89">
        <f t="shared" si="37"/>
        <v>0</v>
      </c>
      <c r="BU32" s="89">
        <f t="shared" si="37"/>
        <v>0</v>
      </c>
      <c r="BV32" s="89">
        <f t="shared" si="37"/>
        <v>0</v>
      </c>
      <c r="BW32" s="89">
        <f t="shared" si="37"/>
        <v>0</v>
      </c>
      <c r="BX32" s="89">
        <f t="shared" si="37"/>
        <v>0</v>
      </c>
      <c r="BY32" s="89">
        <f t="shared" si="37"/>
        <v>0</v>
      </c>
      <c r="BZ32" s="89">
        <f t="shared" si="37"/>
        <v>0</v>
      </c>
      <c r="CA32" s="89">
        <f t="shared" si="37"/>
        <v>0</v>
      </c>
      <c r="CB32" s="89">
        <f t="shared" si="37"/>
        <v>0</v>
      </c>
      <c r="CC32" s="89">
        <f t="shared" si="37"/>
        <v>0</v>
      </c>
      <c r="CD32" s="89">
        <f t="shared" si="37"/>
        <v>0</v>
      </c>
      <c r="CE32" s="89">
        <f t="shared" si="37"/>
        <v>0</v>
      </c>
      <c r="CF32" s="89">
        <f t="shared" si="37"/>
        <v>0</v>
      </c>
      <c r="CG32" s="89">
        <f t="shared" si="37"/>
        <v>0</v>
      </c>
      <c r="CH32" s="89">
        <f t="shared" si="37"/>
        <v>0</v>
      </c>
      <c r="CI32" s="89">
        <f t="shared" si="37"/>
        <v>0</v>
      </c>
      <c r="CJ32" s="89">
        <f t="shared" ref="CJ32:DB32" si="38">+(-$E$62*CJ143/$U$143)</f>
        <v>0</v>
      </c>
      <c r="CK32" s="89">
        <f t="shared" si="38"/>
        <v>0</v>
      </c>
      <c r="CL32" s="89">
        <f t="shared" si="38"/>
        <v>0</v>
      </c>
      <c r="CM32" s="89">
        <f t="shared" si="38"/>
        <v>0</v>
      </c>
      <c r="CN32" s="89">
        <f t="shared" si="38"/>
        <v>0</v>
      </c>
      <c r="CO32" s="89">
        <f t="shared" si="38"/>
        <v>0</v>
      </c>
      <c r="CP32" s="89">
        <f t="shared" si="38"/>
        <v>0</v>
      </c>
      <c r="CQ32" s="89">
        <f t="shared" si="38"/>
        <v>0</v>
      </c>
      <c r="CR32" s="89">
        <f t="shared" si="38"/>
        <v>0</v>
      </c>
      <c r="CS32" s="89">
        <f t="shared" si="38"/>
        <v>0</v>
      </c>
      <c r="CT32" s="89">
        <f t="shared" si="38"/>
        <v>0</v>
      </c>
      <c r="CU32" s="89">
        <f t="shared" si="38"/>
        <v>0</v>
      </c>
      <c r="CV32" s="89">
        <f t="shared" si="38"/>
        <v>0</v>
      </c>
      <c r="CW32" s="89">
        <f t="shared" si="38"/>
        <v>0</v>
      </c>
      <c r="CX32" s="89">
        <f t="shared" si="38"/>
        <v>0</v>
      </c>
      <c r="CY32" s="89">
        <f t="shared" si="38"/>
        <v>0</v>
      </c>
      <c r="CZ32" s="89">
        <f t="shared" si="38"/>
        <v>0</v>
      </c>
      <c r="DA32" s="89">
        <f t="shared" si="38"/>
        <v>0</v>
      </c>
      <c r="DB32" s="89">
        <f t="shared" si="38"/>
        <v>0</v>
      </c>
      <c r="DC32" s="21" t="s">
        <v>11</v>
      </c>
    </row>
    <row r="33" spans="2:107">
      <c r="B33" s="31" t="s">
        <v>93</v>
      </c>
      <c r="C33" s="97">
        <v>0</v>
      </c>
      <c r="D33" s="97">
        <v>0</v>
      </c>
      <c r="E33" s="56">
        <f>+D33*C33</f>
        <v>0</v>
      </c>
      <c r="F33" s="61">
        <f t="shared" si="35"/>
        <v>0</v>
      </c>
      <c r="G33" s="61">
        <f t="shared" si="36"/>
        <v>0</v>
      </c>
      <c r="U33" s="58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9"/>
      <c r="AR33" s="59"/>
      <c r="AS33" s="59"/>
      <c r="AT33" s="59"/>
      <c r="AU33" s="59"/>
      <c r="AV33" s="59"/>
      <c r="AW33" s="59"/>
      <c r="AX33" s="59"/>
      <c r="AY33" s="59"/>
      <c r="AZ33" s="59"/>
      <c r="BA33" s="59"/>
      <c r="BB33" s="59"/>
      <c r="BC33" s="59"/>
      <c r="BD33" s="59"/>
      <c r="BE33" s="59"/>
      <c r="BF33" s="59"/>
      <c r="BG33" s="59"/>
      <c r="BH33" s="59"/>
      <c r="BI33" s="59"/>
      <c r="BJ33" s="59"/>
      <c r="BK33" s="59"/>
      <c r="BL33" s="59"/>
      <c r="BM33" s="59"/>
      <c r="BN33" s="59"/>
      <c r="BO33" s="59"/>
      <c r="BP33" s="59"/>
      <c r="BQ33" s="59"/>
      <c r="BR33" s="59"/>
      <c r="BS33" s="59"/>
      <c r="BT33" s="59"/>
      <c r="BU33" s="59"/>
      <c r="BV33" s="59"/>
      <c r="BW33" s="59"/>
      <c r="BX33" s="59"/>
      <c r="BY33" s="59"/>
      <c r="BZ33" s="59"/>
      <c r="CA33" s="59"/>
      <c r="CB33" s="59"/>
      <c r="CC33" s="59"/>
      <c r="CD33" s="59"/>
      <c r="CE33" s="59"/>
      <c r="CF33" s="59"/>
      <c r="CG33" s="59"/>
      <c r="CH33" s="59"/>
      <c r="CI33" s="59"/>
      <c r="CJ33" s="59"/>
      <c r="CK33" s="59"/>
      <c r="CL33" s="59"/>
      <c r="CM33" s="59"/>
      <c r="CN33" s="59"/>
      <c r="CO33" s="59"/>
      <c r="CP33" s="59"/>
      <c r="CQ33" s="59"/>
      <c r="CR33" s="59"/>
      <c r="CS33" s="59"/>
      <c r="CT33" s="59"/>
      <c r="CU33" s="59"/>
      <c r="CV33" s="59"/>
      <c r="CW33" s="59"/>
      <c r="CX33" s="59"/>
      <c r="CY33" s="59"/>
      <c r="CZ33" s="59"/>
      <c r="DA33" s="59"/>
      <c r="DB33" s="59"/>
      <c r="DC33" s="21" t="s">
        <v>11</v>
      </c>
    </row>
    <row r="34" spans="2:107">
      <c r="B34" s="68" t="s">
        <v>94</v>
      </c>
      <c r="C34" s="100">
        <f>+SUM(C31:C33)</f>
        <v>6132.8125</v>
      </c>
      <c r="D34" s="68"/>
      <c r="E34" s="100">
        <f>+SUM(E31:E33)</f>
        <v>785000</v>
      </c>
      <c r="F34" s="85">
        <f t="shared" si="35"/>
        <v>0.91062425903026056</v>
      </c>
      <c r="G34" s="85">
        <f t="shared" si="36"/>
        <v>0.74756705966981229</v>
      </c>
      <c r="T34" s="86" t="s">
        <v>95</v>
      </c>
      <c r="U34" s="88">
        <f>+SUM(V34:DB34)</f>
        <v>-1047877.1866666664</v>
      </c>
      <c r="V34" s="89">
        <f>+V30+V17+V22+V32</f>
        <v>0</v>
      </c>
      <c r="W34" s="89">
        <f t="shared" ref="W34:CH34" si="39">+W30+W17+W22+W32</f>
        <v>-39250</v>
      </c>
      <c r="X34" s="89">
        <f t="shared" si="39"/>
        <v>-852622.16666666663</v>
      </c>
      <c r="Y34" s="89">
        <f t="shared" si="39"/>
        <v>-56479.166666666664</v>
      </c>
      <c r="Z34" s="89">
        <f>+Z30+Z17+Z22+Z32</f>
        <v>-64479.166666666664</v>
      </c>
      <c r="AA34" s="89">
        <f t="shared" si="39"/>
        <v>-34209.186666666668</v>
      </c>
      <c r="AB34" s="89">
        <f t="shared" si="39"/>
        <v>-279.16666666666669</v>
      </c>
      <c r="AC34" s="89">
        <f t="shared" si="39"/>
        <v>-279.16666666666669</v>
      </c>
      <c r="AD34" s="89">
        <f t="shared" si="39"/>
        <v>-279.16666666666669</v>
      </c>
      <c r="AE34" s="89">
        <f t="shared" si="39"/>
        <v>0</v>
      </c>
      <c r="AF34" s="89">
        <f t="shared" si="39"/>
        <v>0</v>
      </c>
      <c r="AG34" s="89">
        <f t="shared" si="39"/>
        <v>0</v>
      </c>
      <c r="AH34" s="89">
        <f t="shared" si="39"/>
        <v>0</v>
      </c>
      <c r="AI34" s="89">
        <f t="shared" si="39"/>
        <v>0</v>
      </c>
      <c r="AJ34" s="89">
        <f t="shared" si="39"/>
        <v>0</v>
      </c>
      <c r="AK34" s="89">
        <f t="shared" si="39"/>
        <v>0</v>
      </c>
      <c r="AL34" s="89">
        <f t="shared" si="39"/>
        <v>0</v>
      </c>
      <c r="AM34" s="89">
        <f t="shared" si="39"/>
        <v>0</v>
      </c>
      <c r="AN34" s="89">
        <f t="shared" si="39"/>
        <v>0</v>
      </c>
      <c r="AO34" s="89">
        <f t="shared" si="39"/>
        <v>0</v>
      </c>
      <c r="AP34" s="89">
        <f t="shared" si="39"/>
        <v>0</v>
      </c>
      <c r="AQ34" s="89">
        <f t="shared" si="39"/>
        <v>0</v>
      </c>
      <c r="AR34" s="89">
        <f t="shared" si="39"/>
        <v>0</v>
      </c>
      <c r="AS34" s="89">
        <f t="shared" si="39"/>
        <v>0</v>
      </c>
      <c r="AT34" s="89">
        <f t="shared" si="39"/>
        <v>0</v>
      </c>
      <c r="AU34" s="89">
        <f t="shared" si="39"/>
        <v>0</v>
      </c>
      <c r="AV34" s="89">
        <f t="shared" si="39"/>
        <v>0</v>
      </c>
      <c r="AW34" s="89">
        <f t="shared" si="39"/>
        <v>0</v>
      </c>
      <c r="AX34" s="89">
        <f t="shared" si="39"/>
        <v>0</v>
      </c>
      <c r="AY34" s="89">
        <f t="shared" si="39"/>
        <v>0</v>
      </c>
      <c r="AZ34" s="89">
        <f t="shared" si="39"/>
        <v>0</v>
      </c>
      <c r="BA34" s="89">
        <f t="shared" si="39"/>
        <v>0</v>
      </c>
      <c r="BB34" s="89">
        <f t="shared" si="39"/>
        <v>0</v>
      </c>
      <c r="BC34" s="89">
        <f t="shared" si="39"/>
        <v>0</v>
      </c>
      <c r="BD34" s="89">
        <f t="shared" si="39"/>
        <v>0</v>
      </c>
      <c r="BE34" s="89">
        <f t="shared" si="39"/>
        <v>0</v>
      </c>
      <c r="BF34" s="89">
        <f t="shared" si="39"/>
        <v>0</v>
      </c>
      <c r="BG34" s="89">
        <f t="shared" si="39"/>
        <v>0</v>
      </c>
      <c r="BH34" s="89">
        <f t="shared" si="39"/>
        <v>0</v>
      </c>
      <c r="BI34" s="89">
        <f t="shared" si="39"/>
        <v>0</v>
      </c>
      <c r="BJ34" s="89">
        <f t="shared" si="39"/>
        <v>0</v>
      </c>
      <c r="BK34" s="89">
        <f t="shared" si="39"/>
        <v>0</v>
      </c>
      <c r="BL34" s="89">
        <f t="shared" si="39"/>
        <v>0</v>
      </c>
      <c r="BM34" s="89">
        <f t="shared" si="39"/>
        <v>0</v>
      </c>
      <c r="BN34" s="89">
        <f t="shared" si="39"/>
        <v>0</v>
      </c>
      <c r="BO34" s="89">
        <f t="shared" si="39"/>
        <v>0</v>
      </c>
      <c r="BP34" s="89">
        <f t="shared" si="39"/>
        <v>0</v>
      </c>
      <c r="BQ34" s="89">
        <f t="shared" si="39"/>
        <v>0</v>
      </c>
      <c r="BR34" s="89">
        <f t="shared" si="39"/>
        <v>0</v>
      </c>
      <c r="BS34" s="89">
        <f t="shared" si="39"/>
        <v>0</v>
      </c>
      <c r="BT34" s="89">
        <f t="shared" si="39"/>
        <v>0</v>
      </c>
      <c r="BU34" s="89">
        <f t="shared" si="39"/>
        <v>0</v>
      </c>
      <c r="BV34" s="89">
        <f t="shared" si="39"/>
        <v>0</v>
      </c>
      <c r="BW34" s="89">
        <f t="shared" si="39"/>
        <v>0</v>
      </c>
      <c r="BX34" s="89">
        <f t="shared" si="39"/>
        <v>0</v>
      </c>
      <c r="BY34" s="89">
        <f t="shared" si="39"/>
        <v>0</v>
      </c>
      <c r="BZ34" s="89">
        <f t="shared" si="39"/>
        <v>0</v>
      </c>
      <c r="CA34" s="89">
        <f t="shared" si="39"/>
        <v>0</v>
      </c>
      <c r="CB34" s="89">
        <f t="shared" si="39"/>
        <v>0</v>
      </c>
      <c r="CC34" s="89">
        <f t="shared" si="39"/>
        <v>0</v>
      </c>
      <c r="CD34" s="89">
        <f t="shared" si="39"/>
        <v>0</v>
      </c>
      <c r="CE34" s="89">
        <f t="shared" si="39"/>
        <v>0</v>
      </c>
      <c r="CF34" s="89">
        <f t="shared" si="39"/>
        <v>0</v>
      </c>
      <c r="CG34" s="89">
        <f t="shared" si="39"/>
        <v>0</v>
      </c>
      <c r="CH34" s="89">
        <f t="shared" si="39"/>
        <v>0</v>
      </c>
      <c r="CI34" s="89">
        <f t="shared" ref="CI34:DB34" si="40">+CI30+CI17+CI22+CI32</f>
        <v>0</v>
      </c>
      <c r="CJ34" s="89">
        <f t="shared" si="40"/>
        <v>0</v>
      </c>
      <c r="CK34" s="89">
        <f t="shared" si="40"/>
        <v>0</v>
      </c>
      <c r="CL34" s="89">
        <f t="shared" si="40"/>
        <v>0</v>
      </c>
      <c r="CM34" s="89">
        <f t="shared" si="40"/>
        <v>0</v>
      </c>
      <c r="CN34" s="89">
        <f t="shared" si="40"/>
        <v>0</v>
      </c>
      <c r="CO34" s="89">
        <f t="shared" si="40"/>
        <v>0</v>
      </c>
      <c r="CP34" s="89">
        <f t="shared" si="40"/>
        <v>0</v>
      </c>
      <c r="CQ34" s="89">
        <f t="shared" si="40"/>
        <v>0</v>
      </c>
      <c r="CR34" s="89">
        <f t="shared" si="40"/>
        <v>0</v>
      </c>
      <c r="CS34" s="89">
        <f t="shared" si="40"/>
        <v>0</v>
      </c>
      <c r="CT34" s="89">
        <f t="shared" si="40"/>
        <v>0</v>
      </c>
      <c r="CU34" s="89">
        <f t="shared" si="40"/>
        <v>0</v>
      </c>
      <c r="CV34" s="89">
        <f t="shared" si="40"/>
        <v>0</v>
      </c>
      <c r="CW34" s="89">
        <f t="shared" si="40"/>
        <v>0</v>
      </c>
      <c r="CX34" s="89">
        <f t="shared" si="40"/>
        <v>0</v>
      </c>
      <c r="CY34" s="89">
        <f t="shared" si="40"/>
        <v>0</v>
      </c>
      <c r="CZ34" s="89">
        <f t="shared" si="40"/>
        <v>0</v>
      </c>
      <c r="DA34" s="89">
        <f t="shared" si="40"/>
        <v>0</v>
      </c>
      <c r="DB34" s="89">
        <f t="shared" si="40"/>
        <v>0</v>
      </c>
      <c r="DC34" s="21" t="s">
        <v>11</v>
      </c>
    </row>
    <row r="35" spans="2:107">
      <c r="B35" s="57" t="s">
        <v>96</v>
      </c>
      <c r="C35" s="25"/>
      <c r="D35" s="104">
        <v>0.02</v>
      </c>
      <c r="E35" s="25">
        <f>+D35*E34</f>
        <v>15700</v>
      </c>
      <c r="F35" s="61">
        <f t="shared" si="35"/>
        <v>1.8212485180605212E-2</v>
      </c>
      <c r="G35" s="61">
        <f t="shared" si="36"/>
        <v>1.4951341193396245E-2</v>
      </c>
      <c r="I35" s="105" t="s">
        <v>97</v>
      </c>
      <c r="J35" s="105"/>
      <c r="K35" s="105"/>
      <c r="L35" s="106"/>
      <c r="M35" s="106"/>
      <c r="N35" s="18"/>
      <c r="O35" s="18"/>
      <c r="P35" s="18"/>
      <c r="U35" s="58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9"/>
      <c r="AR35" s="59"/>
      <c r="AS35" s="59"/>
      <c r="AT35" s="59"/>
      <c r="AU35" s="59"/>
      <c r="AV35" s="59"/>
      <c r="AW35" s="59"/>
      <c r="AX35" s="59"/>
      <c r="AY35" s="59"/>
      <c r="AZ35" s="59"/>
      <c r="BA35" s="59"/>
      <c r="BB35" s="59"/>
      <c r="BC35" s="59"/>
      <c r="BD35" s="59"/>
      <c r="BE35" s="59"/>
      <c r="BF35" s="59"/>
      <c r="BG35" s="59"/>
      <c r="BH35" s="59"/>
      <c r="BI35" s="59"/>
      <c r="BJ35" s="59"/>
      <c r="BK35" s="59"/>
      <c r="BL35" s="59"/>
      <c r="BM35" s="59"/>
      <c r="BN35" s="59"/>
      <c r="BO35" s="59"/>
      <c r="BP35" s="59"/>
      <c r="BQ35" s="59"/>
      <c r="BR35" s="59"/>
      <c r="BS35" s="59"/>
      <c r="BT35" s="59"/>
      <c r="BU35" s="59"/>
      <c r="BV35" s="59"/>
      <c r="BW35" s="59"/>
      <c r="BX35" s="59"/>
      <c r="BY35" s="59"/>
      <c r="BZ35" s="59"/>
      <c r="CA35" s="59"/>
      <c r="CB35" s="59"/>
      <c r="CC35" s="59"/>
      <c r="CD35" s="59"/>
      <c r="CE35" s="59"/>
      <c r="CF35" s="59"/>
      <c r="CG35" s="59"/>
      <c r="CH35" s="59"/>
      <c r="CI35" s="59"/>
      <c r="CJ35" s="59"/>
      <c r="CK35" s="59"/>
      <c r="CL35" s="59"/>
      <c r="CM35" s="59"/>
      <c r="CN35" s="59"/>
      <c r="CO35" s="59"/>
      <c r="CP35" s="59"/>
      <c r="CQ35" s="59"/>
      <c r="CR35" s="59"/>
      <c r="CS35" s="59"/>
      <c r="CT35" s="59"/>
      <c r="CU35" s="59"/>
      <c r="CV35" s="59"/>
      <c r="CW35" s="59"/>
      <c r="CX35" s="59"/>
      <c r="CY35" s="59"/>
      <c r="CZ35" s="59"/>
      <c r="DA35" s="59"/>
      <c r="DB35" s="59"/>
      <c r="DC35" s="21" t="s">
        <v>11</v>
      </c>
    </row>
    <row r="36" spans="2:107">
      <c r="B36" s="57" t="s">
        <v>98</v>
      </c>
      <c r="C36" s="25"/>
      <c r="D36" s="107" t="s">
        <v>99</v>
      </c>
      <c r="E36" s="60">
        <v>1100</v>
      </c>
      <c r="F36" s="61">
        <f t="shared" si="35"/>
        <v>1.276033993545588E-3</v>
      </c>
      <c r="G36" s="61">
        <f t="shared" si="36"/>
        <v>1.0475461982634312E-3</v>
      </c>
      <c r="L36" s="108"/>
      <c r="M36" s="34"/>
      <c r="N36" s="22" t="s">
        <v>100</v>
      </c>
      <c r="O36" s="22" t="s">
        <v>51</v>
      </c>
      <c r="P36" s="22" t="s">
        <v>101</v>
      </c>
      <c r="T36" s="50" t="s">
        <v>2</v>
      </c>
      <c r="U36" s="109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0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0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21" t="s">
        <v>11</v>
      </c>
    </row>
    <row r="37" spans="2:107">
      <c r="B37" s="57" t="s">
        <v>102</v>
      </c>
      <c r="C37" s="25"/>
      <c r="D37" s="107" t="s">
        <v>103</v>
      </c>
      <c r="E37" s="60">
        <v>900</v>
      </c>
      <c r="F37" s="61">
        <f t="shared" si="35"/>
        <v>1.0440278129009357E-3</v>
      </c>
      <c r="G37" s="61">
        <f t="shared" si="36"/>
        <v>8.5708325312462556E-4</v>
      </c>
      <c r="I37" s="9" t="s">
        <v>104</v>
      </c>
      <c r="N37" s="21">
        <f>+N123</f>
        <v>8</v>
      </c>
      <c r="O37" s="107">
        <v>200</v>
      </c>
      <c r="P37" s="111">
        <f>+O37*N123</f>
        <v>1600</v>
      </c>
      <c r="U37" s="58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9"/>
      <c r="AW37" s="59"/>
      <c r="AX37" s="59"/>
      <c r="AY37" s="59"/>
      <c r="AZ37" s="59"/>
      <c r="BA37" s="59"/>
      <c r="BB37" s="59"/>
      <c r="BC37" s="59"/>
      <c r="BD37" s="59"/>
      <c r="BE37" s="59"/>
      <c r="BF37" s="59"/>
      <c r="BG37" s="59"/>
      <c r="BH37" s="59"/>
      <c r="BI37" s="59"/>
      <c r="BJ37" s="59"/>
      <c r="BK37" s="59"/>
      <c r="BL37" s="59"/>
      <c r="BM37" s="59"/>
      <c r="BN37" s="59"/>
      <c r="BO37" s="59"/>
      <c r="BP37" s="59"/>
      <c r="BQ37" s="59"/>
      <c r="BR37" s="59"/>
      <c r="BS37" s="59"/>
      <c r="BT37" s="59"/>
      <c r="BU37" s="59"/>
      <c r="BV37" s="59"/>
      <c r="BW37" s="59"/>
      <c r="BX37" s="59"/>
      <c r="BY37" s="59"/>
      <c r="BZ37" s="59"/>
      <c r="CA37" s="59"/>
      <c r="CB37" s="59"/>
      <c r="CC37" s="59"/>
      <c r="CD37" s="59"/>
      <c r="CE37" s="59"/>
      <c r="CF37" s="59"/>
      <c r="CG37" s="59"/>
      <c r="CH37" s="59"/>
      <c r="CI37" s="59"/>
      <c r="CJ37" s="59"/>
      <c r="CK37" s="59"/>
      <c r="CL37" s="59"/>
      <c r="CM37" s="59"/>
      <c r="CN37" s="59"/>
      <c r="CO37" s="59"/>
      <c r="CP37" s="59"/>
      <c r="CQ37" s="59"/>
      <c r="CR37" s="59"/>
      <c r="CS37" s="59"/>
      <c r="CT37" s="59"/>
      <c r="CU37" s="59"/>
      <c r="CV37" s="59"/>
      <c r="CW37" s="59"/>
      <c r="CX37" s="59"/>
      <c r="CY37" s="59"/>
      <c r="CZ37" s="59"/>
      <c r="DA37" s="59"/>
      <c r="DB37" s="59"/>
      <c r="DC37" s="21" t="s">
        <v>11</v>
      </c>
    </row>
    <row r="38" spans="2:107">
      <c r="B38" s="57" t="s">
        <v>105</v>
      </c>
      <c r="C38" s="25"/>
      <c r="D38" s="112">
        <f>4%*1.21</f>
        <v>4.8399999999999999E-2</v>
      </c>
      <c r="E38" s="25">
        <f>+D38*E34</f>
        <v>37994</v>
      </c>
      <c r="F38" s="61">
        <f t="shared" si="35"/>
        <v>4.407421413706461E-2</v>
      </c>
      <c r="G38" s="61">
        <f t="shared" si="36"/>
        <v>3.6182245688018914E-2</v>
      </c>
      <c r="I38" s="9" t="s">
        <v>106</v>
      </c>
      <c r="N38" s="21">
        <f>+U146</f>
        <v>4</v>
      </c>
      <c r="O38" s="65">
        <v>0</v>
      </c>
      <c r="P38" s="9">
        <f>+N38*O38</f>
        <v>0</v>
      </c>
      <c r="T38" s="9" t="s">
        <v>107</v>
      </c>
      <c r="U38" s="58">
        <f>+SUM(V38:DB38)</f>
        <v>-1600</v>
      </c>
      <c r="V38" s="59">
        <f t="shared" ref="V38:CG38" si="41">+-V141*$O$37</f>
        <v>0</v>
      </c>
      <c r="W38" s="59">
        <f t="shared" si="41"/>
        <v>-200</v>
      </c>
      <c r="X38" s="59">
        <f t="shared" si="41"/>
        <v>-200</v>
      </c>
      <c r="Y38" s="59">
        <f t="shared" si="41"/>
        <v>-200</v>
      </c>
      <c r="Z38" s="59">
        <f t="shared" si="41"/>
        <v>-200</v>
      </c>
      <c r="AA38" s="59">
        <f t="shared" si="41"/>
        <v>-200</v>
      </c>
      <c r="AB38" s="59">
        <f t="shared" si="41"/>
        <v>-200</v>
      </c>
      <c r="AC38" s="59">
        <f t="shared" si="41"/>
        <v>-200</v>
      </c>
      <c r="AD38" s="59">
        <f t="shared" si="41"/>
        <v>-200</v>
      </c>
      <c r="AE38" s="59">
        <f t="shared" si="41"/>
        <v>0</v>
      </c>
      <c r="AF38" s="59">
        <f t="shared" si="41"/>
        <v>0</v>
      </c>
      <c r="AG38" s="59">
        <f t="shared" si="41"/>
        <v>0</v>
      </c>
      <c r="AH38" s="59">
        <f t="shared" si="41"/>
        <v>0</v>
      </c>
      <c r="AI38" s="59">
        <f t="shared" si="41"/>
        <v>0</v>
      </c>
      <c r="AJ38" s="59">
        <f t="shared" si="41"/>
        <v>0</v>
      </c>
      <c r="AK38" s="59">
        <f t="shared" si="41"/>
        <v>0</v>
      </c>
      <c r="AL38" s="59">
        <f t="shared" si="41"/>
        <v>0</v>
      </c>
      <c r="AM38" s="59">
        <f t="shared" si="41"/>
        <v>0</v>
      </c>
      <c r="AN38" s="59">
        <f t="shared" si="41"/>
        <v>0</v>
      </c>
      <c r="AO38" s="59">
        <f t="shared" si="41"/>
        <v>0</v>
      </c>
      <c r="AP38" s="59">
        <f t="shared" si="41"/>
        <v>0</v>
      </c>
      <c r="AQ38" s="59">
        <f t="shared" si="41"/>
        <v>0</v>
      </c>
      <c r="AR38" s="59">
        <f t="shared" si="41"/>
        <v>0</v>
      </c>
      <c r="AS38" s="59">
        <f t="shared" si="41"/>
        <v>0</v>
      </c>
      <c r="AT38" s="59">
        <f t="shared" si="41"/>
        <v>0</v>
      </c>
      <c r="AU38" s="59">
        <f t="shared" si="41"/>
        <v>0</v>
      </c>
      <c r="AV38" s="59">
        <f t="shared" si="41"/>
        <v>0</v>
      </c>
      <c r="AW38" s="59">
        <f t="shared" si="41"/>
        <v>0</v>
      </c>
      <c r="AX38" s="59">
        <f t="shared" si="41"/>
        <v>0</v>
      </c>
      <c r="AY38" s="59">
        <f t="shared" si="41"/>
        <v>0</v>
      </c>
      <c r="AZ38" s="59">
        <f t="shared" si="41"/>
        <v>0</v>
      </c>
      <c r="BA38" s="59">
        <f t="shared" si="41"/>
        <v>0</v>
      </c>
      <c r="BB38" s="59">
        <f t="shared" si="41"/>
        <v>0</v>
      </c>
      <c r="BC38" s="59">
        <f t="shared" si="41"/>
        <v>0</v>
      </c>
      <c r="BD38" s="59">
        <f t="shared" si="41"/>
        <v>0</v>
      </c>
      <c r="BE38" s="59">
        <f t="shared" si="41"/>
        <v>0</v>
      </c>
      <c r="BF38" s="59">
        <f t="shared" si="41"/>
        <v>0</v>
      </c>
      <c r="BG38" s="59">
        <f t="shared" si="41"/>
        <v>0</v>
      </c>
      <c r="BH38" s="59">
        <f t="shared" si="41"/>
        <v>0</v>
      </c>
      <c r="BI38" s="59">
        <f t="shared" si="41"/>
        <v>0</v>
      </c>
      <c r="BJ38" s="59">
        <f t="shared" si="41"/>
        <v>0</v>
      </c>
      <c r="BK38" s="59">
        <f t="shared" si="41"/>
        <v>0</v>
      </c>
      <c r="BL38" s="59">
        <f t="shared" si="41"/>
        <v>0</v>
      </c>
      <c r="BM38" s="59">
        <f t="shared" si="41"/>
        <v>0</v>
      </c>
      <c r="BN38" s="59">
        <f t="shared" si="41"/>
        <v>0</v>
      </c>
      <c r="BO38" s="59">
        <f t="shared" si="41"/>
        <v>0</v>
      </c>
      <c r="BP38" s="59">
        <f t="shared" si="41"/>
        <v>0</v>
      </c>
      <c r="BQ38" s="59">
        <f t="shared" si="41"/>
        <v>0</v>
      </c>
      <c r="BR38" s="59">
        <f t="shared" si="41"/>
        <v>0</v>
      </c>
      <c r="BS38" s="59">
        <f t="shared" si="41"/>
        <v>0</v>
      </c>
      <c r="BT38" s="59">
        <f t="shared" si="41"/>
        <v>0</v>
      </c>
      <c r="BU38" s="59">
        <f t="shared" si="41"/>
        <v>0</v>
      </c>
      <c r="BV38" s="59">
        <f t="shared" si="41"/>
        <v>0</v>
      </c>
      <c r="BW38" s="59">
        <f t="shared" si="41"/>
        <v>0</v>
      </c>
      <c r="BX38" s="59">
        <f t="shared" si="41"/>
        <v>0</v>
      </c>
      <c r="BY38" s="59">
        <f t="shared" si="41"/>
        <v>0</v>
      </c>
      <c r="BZ38" s="59">
        <f t="shared" si="41"/>
        <v>0</v>
      </c>
      <c r="CA38" s="59">
        <f t="shared" si="41"/>
        <v>0</v>
      </c>
      <c r="CB38" s="59">
        <f t="shared" si="41"/>
        <v>0</v>
      </c>
      <c r="CC38" s="59">
        <f t="shared" si="41"/>
        <v>0</v>
      </c>
      <c r="CD38" s="59">
        <f t="shared" si="41"/>
        <v>0</v>
      </c>
      <c r="CE38" s="59">
        <f t="shared" si="41"/>
        <v>0</v>
      </c>
      <c r="CF38" s="59">
        <f t="shared" si="41"/>
        <v>0</v>
      </c>
      <c r="CG38" s="59">
        <f t="shared" si="41"/>
        <v>0</v>
      </c>
      <c r="CH38" s="59">
        <f t="shared" ref="CH38:DB38" si="42">+-CH141*$O$37</f>
        <v>0</v>
      </c>
      <c r="CI38" s="59">
        <f t="shared" si="42"/>
        <v>0</v>
      </c>
      <c r="CJ38" s="59">
        <f t="shared" si="42"/>
        <v>0</v>
      </c>
      <c r="CK38" s="59">
        <f t="shared" si="42"/>
        <v>0</v>
      </c>
      <c r="CL38" s="59">
        <f t="shared" si="42"/>
        <v>0</v>
      </c>
      <c r="CM38" s="59">
        <f t="shared" si="42"/>
        <v>0</v>
      </c>
      <c r="CN38" s="59">
        <f t="shared" si="42"/>
        <v>0</v>
      </c>
      <c r="CO38" s="59">
        <f t="shared" si="42"/>
        <v>0</v>
      </c>
      <c r="CP38" s="59">
        <f t="shared" si="42"/>
        <v>0</v>
      </c>
      <c r="CQ38" s="59">
        <f t="shared" si="42"/>
        <v>0</v>
      </c>
      <c r="CR38" s="59">
        <f t="shared" si="42"/>
        <v>0</v>
      </c>
      <c r="CS38" s="59">
        <f t="shared" si="42"/>
        <v>0</v>
      </c>
      <c r="CT38" s="59">
        <f t="shared" si="42"/>
        <v>0</v>
      </c>
      <c r="CU38" s="59">
        <f t="shared" si="42"/>
        <v>0</v>
      </c>
      <c r="CV38" s="59">
        <f t="shared" si="42"/>
        <v>0</v>
      </c>
      <c r="CW38" s="59">
        <f t="shared" si="42"/>
        <v>0</v>
      </c>
      <c r="CX38" s="59">
        <f t="shared" si="42"/>
        <v>0</v>
      </c>
      <c r="CY38" s="59">
        <f t="shared" si="42"/>
        <v>0</v>
      </c>
      <c r="CZ38" s="59">
        <f t="shared" si="42"/>
        <v>0</v>
      </c>
      <c r="DA38" s="59">
        <f t="shared" si="42"/>
        <v>0</v>
      </c>
      <c r="DB38" s="59">
        <f t="shared" si="42"/>
        <v>0</v>
      </c>
      <c r="DC38" s="21" t="s">
        <v>11</v>
      </c>
    </row>
    <row r="39" spans="2:107">
      <c r="B39" s="57" t="s">
        <v>108</v>
      </c>
      <c r="C39" s="25">
        <f>+E39/D22</f>
        <v>148.4140625</v>
      </c>
      <c r="D39" s="113">
        <f>2%*1.21</f>
        <v>2.4199999999999999E-2</v>
      </c>
      <c r="E39" s="25">
        <f>+D39*E34</f>
        <v>18997</v>
      </c>
      <c r="F39" s="61">
        <f t="shared" si="35"/>
        <v>2.2037107068532305E-2</v>
      </c>
      <c r="G39" s="61">
        <f t="shared" si="36"/>
        <v>1.8091122844009457E-2</v>
      </c>
      <c r="T39" s="9" t="s">
        <v>109</v>
      </c>
      <c r="U39" s="58">
        <f>+SUM(V39:DB39)</f>
        <v>0</v>
      </c>
      <c r="V39" s="59">
        <f t="shared" ref="V39:CG39" si="43">+-$O$38*V146</f>
        <v>0</v>
      </c>
      <c r="W39" s="59">
        <f t="shared" si="43"/>
        <v>0</v>
      </c>
      <c r="X39" s="59">
        <f t="shared" si="43"/>
        <v>0</v>
      </c>
      <c r="Y39" s="59">
        <f t="shared" si="43"/>
        <v>0</v>
      </c>
      <c r="Z39" s="59">
        <f t="shared" si="43"/>
        <v>0</v>
      </c>
      <c r="AA39" s="59">
        <f t="shared" si="43"/>
        <v>0</v>
      </c>
      <c r="AB39" s="59">
        <f t="shared" si="43"/>
        <v>0</v>
      </c>
      <c r="AC39" s="59">
        <f t="shared" si="43"/>
        <v>0</v>
      </c>
      <c r="AD39" s="59">
        <f t="shared" si="43"/>
        <v>0</v>
      </c>
      <c r="AE39" s="59">
        <f t="shared" si="43"/>
        <v>0</v>
      </c>
      <c r="AF39" s="59">
        <f t="shared" si="43"/>
        <v>0</v>
      </c>
      <c r="AG39" s="59">
        <f t="shared" si="43"/>
        <v>0</v>
      </c>
      <c r="AH39" s="59">
        <f t="shared" si="43"/>
        <v>0</v>
      </c>
      <c r="AI39" s="59">
        <f t="shared" si="43"/>
        <v>0</v>
      </c>
      <c r="AJ39" s="59">
        <f t="shared" si="43"/>
        <v>0</v>
      </c>
      <c r="AK39" s="59">
        <f t="shared" si="43"/>
        <v>0</v>
      </c>
      <c r="AL39" s="59">
        <f t="shared" si="43"/>
        <v>0</v>
      </c>
      <c r="AM39" s="59">
        <f t="shared" si="43"/>
        <v>0</v>
      </c>
      <c r="AN39" s="59">
        <f t="shared" si="43"/>
        <v>0</v>
      </c>
      <c r="AO39" s="59">
        <f t="shared" si="43"/>
        <v>0</v>
      </c>
      <c r="AP39" s="59">
        <f t="shared" si="43"/>
        <v>0</v>
      </c>
      <c r="AQ39" s="59">
        <f t="shared" si="43"/>
        <v>0</v>
      </c>
      <c r="AR39" s="59">
        <f t="shared" si="43"/>
        <v>0</v>
      </c>
      <c r="AS39" s="59">
        <f t="shared" si="43"/>
        <v>0</v>
      </c>
      <c r="AT39" s="59">
        <f t="shared" si="43"/>
        <v>0</v>
      </c>
      <c r="AU39" s="59">
        <f t="shared" si="43"/>
        <v>0</v>
      </c>
      <c r="AV39" s="59">
        <f t="shared" si="43"/>
        <v>0</v>
      </c>
      <c r="AW39" s="59">
        <f t="shared" si="43"/>
        <v>0</v>
      </c>
      <c r="AX39" s="59">
        <f t="shared" si="43"/>
        <v>0</v>
      </c>
      <c r="AY39" s="59">
        <f t="shared" si="43"/>
        <v>0</v>
      </c>
      <c r="AZ39" s="59">
        <f t="shared" si="43"/>
        <v>0</v>
      </c>
      <c r="BA39" s="59">
        <f t="shared" si="43"/>
        <v>0</v>
      </c>
      <c r="BB39" s="59">
        <f t="shared" si="43"/>
        <v>0</v>
      </c>
      <c r="BC39" s="59">
        <f t="shared" si="43"/>
        <v>0</v>
      </c>
      <c r="BD39" s="59">
        <f t="shared" si="43"/>
        <v>0</v>
      </c>
      <c r="BE39" s="59">
        <f t="shared" si="43"/>
        <v>0</v>
      </c>
      <c r="BF39" s="59">
        <f t="shared" si="43"/>
        <v>0</v>
      </c>
      <c r="BG39" s="59">
        <f t="shared" si="43"/>
        <v>0</v>
      </c>
      <c r="BH39" s="59">
        <f t="shared" si="43"/>
        <v>0</v>
      </c>
      <c r="BI39" s="59">
        <f t="shared" si="43"/>
        <v>0</v>
      </c>
      <c r="BJ39" s="59">
        <f t="shared" si="43"/>
        <v>0</v>
      </c>
      <c r="BK39" s="59">
        <f t="shared" si="43"/>
        <v>0</v>
      </c>
      <c r="BL39" s="59">
        <f t="shared" si="43"/>
        <v>0</v>
      </c>
      <c r="BM39" s="59">
        <f t="shared" si="43"/>
        <v>0</v>
      </c>
      <c r="BN39" s="59">
        <f t="shared" si="43"/>
        <v>0</v>
      </c>
      <c r="BO39" s="59">
        <f t="shared" si="43"/>
        <v>0</v>
      </c>
      <c r="BP39" s="59">
        <f t="shared" si="43"/>
        <v>0</v>
      </c>
      <c r="BQ39" s="59">
        <f t="shared" si="43"/>
        <v>0</v>
      </c>
      <c r="BR39" s="59">
        <f t="shared" si="43"/>
        <v>0</v>
      </c>
      <c r="BS39" s="59">
        <f t="shared" si="43"/>
        <v>0</v>
      </c>
      <c r="BT39" s="59">
        <f t="shared" si="43"/>
        <v>0</v>
      </c>
      <c r="BU39" s="59">
        <f t="shared" si="43"/>
        <v>0</v>
      </c>
      <c r="BV39" s="59">
        <f t="shared" si="43"/>
        <v>0</v>
      </c>
      <c r="BW39" s="59">
        <f t="shared" si="43"/>
        <v>0</v>
      </c>
      <c r="BX39" s="59">
        <f t="shared" si="43"/>
        <v>0</v>
      </c>
      <c r="BY39" s="59">
        <f t="shared" si="43"/>
        <v>0</v>
      </c>
      <c r="BZ39" s="59">
        <f t="shared" si="43"/>
        <v>0</v>
      </c>
      <c r="CA39" s="59">
        <f t="shared" si="43"/>
        <v>0</v>
      </c>
      <c r="CB39" s="59">
        <f t="shared" si="43"/>
        <v>0</v>
      </c>
      <c r="CC39" s="59">
        <f t="shared" si="43"/>
        <v>0</v>
      </c>
      <c r="CD39" s="59">
        <f t="shared" si="43"/>
        <v>0</v>
      </c>
      <c r="CE39" s="59">
        <f t="shared" si="43"/>
        <v>0</v>
      </c>
      <c r="CF39" s="59">
        <f t="shared" si="43"/>
        <v>0</v>
      </c>
      <c r="CG39" s="59">
        <f t="shared" si="43"/>
        <v>0</v>
      </c>
      <c r="CH39" s="59">
        <f t="shared" ref="CH39:DB39" si="44">+-$O$38*CH146</f>
        <v>0</v>
      </c>
      <c r="CI39" s="59">
        <f t="shared" si="44"/>
        <v>0</v>
      </c>
      <c r="CJ39" s="59">
        <f t="shared" si="44"/>
        <v>0</v>
      </c>
      <c r="CK39" s="59">
        <f t="shared" si="44"/>
        <v>0</v>
      </c>
      <c r="CL39" s="59">
        <f t="shared" si="44"/>
        <v>0</v>
      </c>
      <c r="CM39" s="59">
        <f t="shared" si="44"/>
        <v>0</v>
      </c>
      <c r="CN39" s="59">
        <f t="shared" si="44"/>
        <v>0</v>
      </c>
      <c r="CO39" s="59">
        <f t="shared" si="44"/>
        <v>0</v>
      </c>
      <c r="CP39" s="59">
        <f t="shared" si="44"/>
        <v>0</v>
      </c>
      <c r="CQ39" s="59">
        <f t="shared" si="44"/>
        <v>0</v>
      </c>
      <c r="CR39" s="59">
        <f t="shared" si="44"/>
        <v>0</v>
      </c>
      <c r="CS39" s="59">
        <f t="shared" si="44"/>
        <v>0</v>
      </c>
      <c r="CT39" s="59">
        <f t="shared" si="44"/>
        <v>0</v>
      </c>
      <c r="CU39" s="59">
        <f t="shared" si="44"/>
        <v>0</v>
      </c>
      <c r="CV39" s="59">
        <f t="shared" si="44"/>
        <v>0</v>
      </c>
      <c r="CW39" s="59">
        <f t="shared" si="44"/>
        <v>0</v>
      </c>
      <c r="CX39" s="59">
        <f t="shared" si="44"/>
        <v>0</v>
      </c>
      <c r="CY39" s="59">
        <f t="shared" si="44"/>
        <v>0</v>
      </c>
      <c r="CZ39" s="59">
        <f t="shared" si="44"/>
        <v>0</v>
      </c>
      <c r="DA39" s="59">
        <f t="shared" si="44"/>
        <v>0</v>
      </c>
      <c r="DB39" s="59">
        <f t="shared" si="44"/>
        <v>0</v>
      </c>
      <c r="DC39" s="21" t="s">
        <v>11</v>
      </c>
    </row>
    <row r="40" spans="2:107">
      <c r="B40" s="57" t="s">
        <v>110</v>
      </c>
      <c r="C40" s="25"/>
      <c r="D40" s="79">
        <v>3.0000000000000001E-3</v>
      </c>
      <c r="E40" s="25">
        <f>+D40*E34</f>
        <v>2355</v>
      </c>
      <c r="F40" s="61">
        <f t="shared" si="35"/>
        <v>2.7318727770907817E-3</v>
      </c>
      <c r="G40" s="61">
        <f t="shared" si="36"/>
        <v>2.2427011790094368E-3</v>
      </c>
      <c r="I40" s="114" t="s">
        <v>111</v>
      </c>
      <c r="J40" s="5"/>
      <c r="K40" s="5"/>
      <c r="L40" s="5"/>
      <c r="M40" s="5"/>
      <c r="N40" s="5"/>
      <c r="O40" s="5"/>
      <c r="P40" s="5"/>
      <c r="T40" s="86" t="s">
        <v>112</v>
      </c>
      <c r="U40" s="88">
        <f>+SUM(V40:DB40)</f>
        <v>-1600</v>
      </c>
      <c r="V40" s="89">
        <f>+SUM(V38:V39)</f>
        <v>0</v>
      </c>
      <c r="W40" s="89">
        <f t="shared" ref="W40:CH40" si="45">+SUM(W38:W39)</f>
        <v>-200</v>
      </c>
      <c r="X40" s="89">
        <f t="shared" si="45"/>
        <v>-200</v>
      </c>
      <c r="Y40" s="89">
        <f t="shared" si="45"/>
        <v>-200</v>
      </c>
      <c r="Z40" s="89">
        <f t="shared" si="45"/>
        <v>-200</v>
      </c>
      <c r="AA40" s="89">
        <f t="shared" si="45"/>
        <v>-200</v>
      </c>
      <c r="AB40" s="89">
        <f t="shared" si="45"/>
        <v>-200</v>
      </c>
      <c r="AC40" s="89">
        <f t="shared" si="45"/>
        <v>-200</v>
      </c>
      <c r="AD40" s="89">
        <f t="shared" si="45"/>
        <v>-200</v>
      </c>
      <c r="AE40" s="89">
        <f t="shared" si="45"/>
        <v>0</v>
      </c>
      <c r="AF40" s="89">
        <f t="shared" si="45"/>
        <v>0</v>
      </c>
      <c r="AG40" s="89">
        <f t="shared" si="45"/>
        <v>0</v>
      </c>
      <c r="AH40" s="89">
        <f t="shared" si="45"/>
        <v>0</v>
      </c>
      <c r="AI40" s="89">
        <f t="shared" si="45"/>
        <v>0</v>
      </c>
      <c r="AJ40" s="89">
        <f t="shared" si="45"/>
        <v>0</v>
      </c>
      <c r="AK40" s="89">
        <f t="shared" si="45"/>
        <v>0</v>
      </c>
      <c r="AL40" s="89">
        <f t="shared" si="45"/>
        <v>0</v>
      </c>
      <c r="AM40" s="89">
        <f t="shared" si="45"/>
        <v>0</v>
      </c>
      <c r="AN40" s="89">
        <f t="shared" si="45"/>
        <v>0</v>
      </c>
      <c r="AO40" s="89">
        <f t="shared" si="45"/>
        <v>0</v>
      </c>
      <c r="AP40" s="89">
        <f t="shared" si="45"/>
        <v>0</v>
      </c>
      <c r="AQ40" s="89">
        <f t="shared" si="45"/>
        <v>0</v>
      </c>
      <c r="AR40" s="89">
        <f t="shared" si="45"/>
        <v>0</v>
      </c>
      <c r="AS40" s="89">
        <f t="shared" si="45"/>
        <v>0</v>
      </c>
      <c r="AT40" s="89">
        <f t="shared" si="45"/>
        <v>0</v>
      </c>
      <c r="AU40" s="89">
        <f t="shared" si="45"/>
        <v>0</v>
      </c>
      <c r="AV40" s="89">
        <f t="shared" si="45"/>
        <v>0</v>
      </c>
      <c r="AW40" s="89">
        <f t="shared" si="45"/>
        <v>0</v>
      </c>
      <c r="AX40" s="89">
        <f t="shared" si="45"/>
        <v>0</v>
      </c>
      <c r="AY40" s="89">
        <f t="shared" si="45"/>
        <v>0</v>
      </c>
      <c r="AZ40" s="89">
        <f t="shared" si="45"/>
        <v>0</v>
      </c>
      <c r="BA40" s="89">
        <f t="shared" si="45"/>
        <v>0</v>
      </c>
      <c r="BB40" s="89">
        <f t="shared" si="45"/>
        <v>0</v>
      </c>
      <c r="BC40" s="89">
        <f t="shared" si="45"/>
        <v>0</v>
      </c>
      <c r="BD40" s="89">
        <f t="shared" si="45"/>
        <v>0</v>
      </c>
      <c r="BE40" s="89">
        <f t="shared" si="45"/>
        <v>0</v>
      </c>
      <c r="BF40" s="89">
        <f t="shared" si="45"/>
        <v>0</v>
      </c>
      <c r="BG40" s="89">
        <f t="shared" si="45"/>
        <v>0</v>
      </c>
      <c r="BH40" s="89">
        <f t="shared" si="45"/>
        <v>0</v>
      </c>
      <c r="BI40" s="89">
        <f t="shared" si="45"/>
        <v>0</v>
      </c>
      <c r="BJ40" s="89">
        <f t="shared" si="45"/>
        <v>0</v>
      </c>
      <c r="BK40" s="89">
        <f t="shared" si="45"/>
        <v>0</v>
      </c>
      <c r="BL40" s="89">
        <f t="shared" si="45"/>
        <v>0</v>
      </c>
      <c r="BM40" s="89">
        <f t="shared" si="45"/>
        <v>0</v>
      </c>
      <c r="BN40" s="89">
        <f t="shared" si="45"/>
        <v>0</v>
      </c>
      <c r="BO40" s="89">
        <f t="shared" si="45"/>
        <v>0</v>
      </c>
      <c r="BP40" s="89">
        <f t="shared" si="45"/>
        <v>0</v>
      </c>
      <c r="BQ40" s="89">
        <f t="shared" si="45"/>
        <v>0</v>
      </c>
      <c r="BR40" s="89">
        <f t="shared" si="45"/>
        <v>0</v>
      </c>
      <c r="BS40" s="89">
        <f t="shared" si="45"/>
        <v>0</v>
      </c>
      <c r="BT40" s="89">
        <f t="shared" si="45"/>
        <v>0</v>
      </c>
      <c r="BU40" s="89">
        <f t="shared" si="45"/>
        <v>0</v>
      </c>
      <c r="BV40" s="89">
        <f t="shared" si="45"/>
        <v>0</v>
      </c>
      <c r="BW40" s="89">
        <f t="shared" si="45"/>
        <v>0</v>
      </c>
      <c r="BX40" s="89">
        <f t="shared" si="45"/>
        <v>0</v>
      </c>
      <c r="BY40" s="89">
        <f t="shared" si="45"/>
        <v>0</v>
      </c>
      <c r="BZ40" s="89">
        <f t="shared" si="45"/>
        <v>0</v>
      </c>
      <c r="CA40" s="89">
        <f t="shared" si="45"/>
        <v>0</v>
      </c>
      <c r="CB40" s="89">
        <f t="shared" si="45"/>
        <v>0</v>
      </c>
      <c r="CC40" s="89">
        <f t="shared" si="45"/>
        <v>0</v>
      </c>
      <c r="CD40" s="89">
        <f t="shared" si="45"/>
        <v>0</v>
      </c>
      <c r="CE40" s="89">
        <f t="shared" si="45"/>
        <v>0</v>
      </c>
      <c r="CF40" s="89">
        <f t="shared" si="45"/>
        <v>0</v>
      </c>
      <c r="CG40" s="89">
        <f t="shared" si="45"/>
        <v>0</v>
      </c>
      <c r="CH40" s="89">
        <f t="shared" si="45"/>
        <v>0</v>
      </c>
      <c r="CI40" s="89">
        <f t="shared" ref="CI40:DB40" si="46">+SUM(CI38:CI39)</f>
        <v>0</v>
      </c>
      <c r="CJ40" s="89">
        <f t="shared" si="46"/>
        <v>0</v>
      </c>
      <c r="CK40" s="89">
        <f t="shared" si="46"/>
        <v>0</v>
      </c>
      <c r="CL40" s="89">
        <f t="shared" si="46"/>
        <v>0</v>
      </c>
      <c r="CM40" s="89">
        <f t="shared" si="46"/>
        <v>0</v>
      </c>
      <c r="CN40" s="89">
        <f t="shared" si="46"/>
        <v>0</v>
      </c>
      <c r="CO40" s="89">
        <f t="shared" si="46"/>
        <v>0</v>
      </c>
      <c r="CP40" s="89">
        <f t="shared" si="46"/>
        <v>0</v>
      </c>
      <c r="CQ40" s="89">
        <f t="shared" si="46"/>
        <v>0</v>
      </c>
      <c r="CR40" s="89">
        <f t="shared" si="46"/>
        <v>0</v>
      </c>
      <c r="CS40" s="89">
        <f t="shared" si="46"/>
        <v>0</v>
      </c>
      <c r="CT40" s="89">
        <f t="shared" si="46"/>
        <v>0</v>
      </c>
      <c r="CU40" s="89">
        <f t="shared" si="46"/>
        <v>0</v>
      </c>
      <c r="CV40" s="89">
        <f t="shared" si="46"/>
        <v>0</v>
      </c>
      <c r="CW40" s="89">
        <f t="shared" si="46"/>
        <v>0</v>
      </c>
      <c r="CX40" s="89">
        <f t="shared" si="46"/>
        <v>0</v>
      </c>
      <c r="CY40" s="89">
        <f t="shared" si="46"/>
        <v>0</v>
      </c>
      <c r="CZ40" s="89">
        <f t="shared" si="46"/>
        <v>0</v>
      </c>
      <c r="DA40" s="89">
        <f t="shared" si="46"/>
        <v>0</v>
      </c>
      <c r="DB40" s="89">
        <f t="shared" si="46"/>
        <v>0</v>
      </c>
      <c r="DC40" s="21" t="s">
        <v>11</v>
      </c>
    </row>
    <row r="41" spans="2:107">
      <c r="B41" s="86" t="s">
        <v>113</v>
      </c>
      <c r="C41" s="87">
        <f>+E41/D31</f>
        <v>6734.734375</v>
      </c>
      <c r="D41" s="85">
        <f>+C41/C31-1</f>
        <v>9.8147770700636849E-2</v>
      </c>
      <c r="E41" s="87">
        <f>+SUM(E34:E40)</f>
        <v>862046</v>
      </c>
      <c r="F41" s="115">
        <f>+SUM(F34:F40)</f>
        <v>1</v>
      </c>
      <c r="G41" s="85">
        <f>+E41/$E$69</f>
        <v>0.82093910002563442</v>
      </c>
      <c r="I41" s="116" t="s">
        <v>114</v>
      </c>
      <c r="J41" s="117"/>
      <c r="K41" s="117"/>
      <c r="L41" s="117"/>
      <c r="M41" s="117"/>
      <c r="N41" s="117"/>
      <c r="O41" s="117"/>
      <c r="P41" s="118">
        <f>+U53</f>
        <v>0.20818118453025822</v>
      </c>
      <c r="Q41" s="119"/>
      <c r="U41" s="58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59"/>
      <c r="AW41" s="59"/>
      <c r="AX41" s="59"/>
      <c r="AY41" s="59"/>
      <c r="AZ41" s="59"/>
      <c r="BA41" s="59"/>
      <c r="BB41" s="59"/>
      <c r="BC41" s="59"/>
      <c r="BD41" s="59"/>
      <c r="BE41" s="59"/>
      <c r="BF41" s="59"/>
      <c r="BG41" s="59"/>
      <c r="BH41" s="59"/>
      <c r="BI41" s="59"/>
      <c r="BJ41" s="59"/>
      <c r="BK41" s="59"/>
      <c r="BL41" s="59"/>
      <c r="BM41" s="59"/>
      <c r="BN41" s="59"/>
      <c r="BO41" s="59"/>
      <c r="BP41" s="59"/>
      <c r="BQ41" s="59"/>
      <c r="BR41" s="59"/>
      <c r="BS41" s="59"/>
      <c r="BT41" s="59"/>
      <c r="BU41" s="59"/>
      <c r="BV41" s="59"/>
      <c r="BW41" s="59"/>
      <c r="BX41" s="59"/>
      <c r="BY41" s="59"/>
      <c r="BZ41" s="59"/>
      <c r="CA41" s="59"/>
      <c r="CB41" s="59"/>
      <c r="CC41" s="59"/>
      <c r="CD41" s="59"/>
      <c r="CE41" s="59"/>
      <c r="CF41" s="59"/>
      <c r="CG41" s="59"/>
      <c r="CH41" s="59"/>
      <c r="CI41" s="59"/>
      <c r="CJ41" s="59"/>
      <c r="CK41" s="59"/>
      <c r="CL41" s="59"/>
      <c r="CM41" s="59"/>
      <c r="CN41" s="59"/>
      <c r="CO41" s="59"/>
      <c r="CP41" s="59"/>
      <c r="CQ41" s="59"/>
      <c r="CR41" s="59"/>
      <c r="CS41" s="59"/>
      <c r="CT41" s="59"/>
      <c r="CU41" s="59"/>
      <c r="CV41" s="59"/>
      <c r="CW41" s="59"/>
      <c r="CX41" s="59"/>
      <c r="CY41" s="59"/>
      <c r="CZ41" s="59"/>
      <c r="DA41" s="59"/>
      <c r="DB41" s="59"/>
      <c r="DC41" s="21" t="s">
        <v>11</v>
      </c>
    </row>
    <row r="42" spans="2:107">
      <c r="D42" s="120"/>
      <c r="F42" s="121"/>
      <c r="G42" s="121"/>
      <c r="I42" s="122" t="s">
        <v>115</v>
      </c>
      <c r="J42" s="123"/>
      <c r="K42" s="123"/>
      <c r="L42" s="123"/>
      <c r="M42" s="123"/>
      <c r="N42" s="123"/>
      <c r="O42" s="123"/>
      <c r="P42" s="124">
        <f>+U92</f>
        <v>0.1770785629749298</v>
      </c>
      <c r="Q42" s="125"/>
      <c r="T42" s="126" t="s">
        <v>116</v>
      </c>
      <c r="U42" s="127">
        <f>+SUM(V42:DB42)</f>
        <v>-1049477.1866666665</v>
      </c>
      <c r="V42" s="128">
        <f>+V40+V34</f>
        <v>0</v>
      </c>
      <c r="W42" s="128">
        <f t="shared" ref="W42:CH42" si="47">+W40+W34</f>
        <v>-39450</v>
      </c>
      <c r="X42" s="128">
        <f t="shared" si="47"/>
        <v>-852822.16666666663</v>
      </c>
      <c r="Y42" s="128">
        <f t="shared" si="47"/>
        <v>-56679.166666666664</v>
      </c>
      <c r="Z42" s="128">
        <f t="shared" si="47"/>
        <v>-64679.166666666664</v>
      </c>
      <c r="AA42" s="128">
        <f t="shared" si="47"/>
        <v>-34409.186666666668</v>
      </c>
      <c r="AB42" s="128">
        <f t="shared" si="47"/>
        <v>-479.16666666666669</v>
      </c>
      <c r="AC42" s="128">
        <f t="shared" si="47"/>
        <v>-479.16666666666669</v>
      </c>
      <c r="AD42" s="128">
        <f t="shared" si="47"/>
        <v>-479.16666666666669</v>
      </c>
      <c r="AE42" s="128">
        <f t="shared" si="47"/>
        <v>0</v>
      </c>
      <c r="AF42" s="128">
        <f t="shared" si="47"/>
        <v>0</v>
      </c>
      <c r="AG42" s="128">
        <f t="shared" si="47"/>
        <v>0</v>
      </c>
      <c r="AH42" s="128">
        <f t="shared" si="47"/>
        <v>0</v>
      </c>
      <c r="AI42" s="128">
        <f t="shared" si="47"/>
        <v>0</v>
      </c>
      <c r="AJ42" s="128">
        <f t="shared" si="47"/>
        <v>0</v>
      </c>
      <c r="AK42" s="128">
        <f t="shared" si="47"/>
        <v>0</v>
      </c>
      <c r="AL42" s="128">
        <f t="shared" si="47"/>
        <v>0</v>
      </c>
      <c r="AM42" s="128">
        <f t="shared" si="47"/>
        <v>0</v>
      </c>
      <c r="AN42" s="128">
        <f t="shared" si="47"/>
        <v>0</v>
      </c>
      <c r="AO42" s="128">
        <f t="shared" si="47"/>
        <v>0</v>
      </c>
      <c r="AP42" s="128">
        <f t="shared" si="47"/>
        <v>0</v>
      </c>
      <c r="AQ42" s="128">
        <f t="shared" si="47"/>
        <v>0</v>
      </c>
      <c r="AR42" s="128">
        <f t="shared" si="47"/>
        <v>0</v>
      </c>
      <c r="AS42" s="128">
        <f t="shared" si="47"/>
        <v>0</v>
      </c>
      <c r="AT42" s="128">
        <f t="shared" si="47"/>
        <v>0</v>
      </c>
      <c r="AU42" s="128">
        <f t="shared" si="47"/>
        <v>0</v>
      </c>
      <c r="AV42" s="128">
        <f t="shared" si="47"/>
        <v>0</v>
      </c>
      <c r="AW42" s="128">
        <f t="shared" si="47"/>
        <v>0</v>
      </c>
      <c r="AX42" s="128">
        <f t="shared" si="47"/>
        <v>0</v>
      </c>
      <c r="AY42" s="128">
        <f t="shared" si="47"/>
        <v>0</v>
      </c>
      <c r="AZ42" s="128">
        <f t="shared" si="47"/>
        <v>0</v>
      </c>
      <c r="BA42" s="128">
        <f t="shared" si="47"/>
        <v>0</v>
      </c>
      <c r="BB42" s="128">
        <f t="shared" si="47"/>
        <v>0</v>
      </c>
      <c r="BC42" s="128">
        <f t="shared" si="47"/>
        <v>0</v>
      </c>
      <c r="BD42" s="128">
        <f t="shared" si="47"/>
        <v>0</v>
      </c>
      <c r="BE42" s="128">
        <f t="shared" si="47"/>
        <v>0</v>
      </c>
      <c r="BF42" s="128">
        <f t="shared" si="47"/>
        <v>0</v>
      </c>
      <c r="BG42" s="128">
        <f t="shared" si="47"/>
        <v>0</v>
      </c>
      <c r="BH42" s="128">
        <f t="shared" si="47"/>
        <v>0</v>
      </c>
      <c r="BI42" s="128">
        <f t="shared" si="47"/>
        <v>0</v>
      </c>
      <c r="BJ42" s="128">
        <f t="shared" si="47"/>
        <v>0</v>
      </c>
      <c r="BK42" s="128">
        <f t="shared" si="47"/>
        <v>0</v>
      </c>
      <c r="BL42" s="128">
        <f t="shared" si="47"/>
        <v>0</v>
      </c>
      <c r="BM42" s="128">
        <f t="shared" si="47"/>
        <v>0</v>
      </c>
      <c r="BN42" s="128">
        <f t="shared" si="47"/>
        <v>0</v>
      </c>
      <c r="BO42" s="128">
        <f t="shared" si="47"/>
        <v>0</v>
      </c>
      <c r="BP42" s="128">
        <f t="shared" si="47"/>
        <v>0</v>
      </c>
      <c r="BQ42" s="128">
        <f t="shared" si="47"/>
        <v>0</v>
      </c>
      <c r="BR42" s="128">
        <f t="shared" si="47"/>
        <v>0</v>
      </c>
      <c r="BS42" s="128">
        <f t="shared" si="47"/>
        <v>0</v>
      </c>
      <c r="BT42" s="128">
        <f t="shared" si="47"/>
        <v>0</v>
      </c>
      <c r="BU42" s="128">
        <f t="shared" si="47"/>
        <v>0</v>
      </c>
      <c r="BV42" s="128">
        <f t="shared" si="47"/>
        <v>0</v>
      </c>
      <c r="BW42" s="128">
        <f t="shared" si="47"/>
        <v>0</v>
      </c>
      <c r="BX42" s="128">
        <f t="shared" si="47"/>
        <v>0</v>
      </c>
      <c r="BY42" s="128">
        <f t="shared" si="47"/>
        <v>0</v>
      </c>
      <c r="BZ42" s="128">
        <f t="shared" si="47"/>
        <v>0</v>
      </c>
      <c r="CA42" s="128">
        <f t="shared" si="47"/>
        <v>0</v>
      </c>
      <c r="CB42" s="128">
        <f t="shared" si="47"/>
        <v>0</v>
      </c>
      <c r="CC42" s="128">
        <f t="shared" si="47"/>
        <v>0</v>
      </c>
      <c r="CD42" s="128">
        <f t="shared" si="47"/>
        <v>0</v>
      </c>
      <c r="CE42" s="128">
        <f t="shared" si="47"/>
        <v>0</v>
      </c>
      <c r="CF42" s="128">
        <f t="shared" si="47"/>
        <v>0</v>
      </c>
      <c r="CG42" s="128">
        <f t="shared" si="47"/>
        <v>0</v>
      </c>
      <c r="CH42" s="128">
        <f t="shared" si="47"/>
        <v>0</v>
      </c>
      <c r="CI42" s="128">
        <f t="shared" ref="CI42:DB42" si="48">+CI40+CI34</f>
        <v>0</v>
      </c>
      <c r="CJ42" s="128">
        <f t="shared" si="48"/>
        <v>0</v>
      </c>
      <c r="CK42" s="128">
        <f t="shared" si="48"/>
        <v>0</v>
      </c>
      <c r="CL42" s="128">
        <f t="shared" si="48"/>
        <v>0</v>
      </c>
      <c r="CM42" s="128">
        <f t="shared" si="48"/>
        <v>0</v>
      </c>
      <c r="CN42" s="128">
        <f t="shared" si="48"/>
        <v>0</v>
      </c>
      <c r="CO42" s="128">
        <f t="shared" si="48"/>
        <v>0</v>
      </c>
      <c r="CP42" s="128">
        <f t="shared" si="48"/>
        <v>0</v>
      </c>
      <c r="CQ42" s="128">
        <f t="shared" si="48"/>
        <v>0</v>
      </c>
      <c r="CR42" s="128">
        <f t="shared" si="48"/>
        <v>0</v>
      </c>
      <c r="CS42" s="128">
        <f t="shared" si="48"/>
        <v>0</v>
      </c>
      <c r="CT42" s="128">
        <f t="shared" si="48"/>
        <v>0</v>
      </c>
      <c r="CU42" s="128">
        <f t="shared" si="48"/>
        <v>0</v>
      </c>
      <c r="CV42" s="128">
        <f t="shared" si="48"/>
        <v>0</v>
      </c>
      <c r="CW42" s="128">
        <f t="shared" si="48"/>
        <v>0</v>
      </c>
      <c r="CX42" s="128">
        <f t="shared" si="48"/>
        <v>0</v>
      </c>
      <c r="CY42" s="128">
        <f t="shared" si="48"/>
        <v>0</v>
      </c>
      <c r="CZ42" s="128">
        <f t="shared" si="48"/>
        <v>0</v>
      </c>
      <c r="DA42" s="128">
        <f t="shared" si="48"/>
        <v>0</v>
      </c>
      <c r="DB42" s="128">
        <f t="shared" si="48"/>
        <v>0</v>
      </c>
      <c r="DC42" s="21" t="s">
        <v>11</v>
      </c>
    </row>
    <row r="43" spans="2:107">
      <c r="B43" s="53" t="s">
        <v>62</v>
      </c>
      <c r="C43" s="22"/>
      <c r="D43" s="22" t="s">
        <v>117</v>
      </c>
      <c r="E43" s="129" t="s">
        <v>118</v>
      </c>
      <c r="F43" s="130" t="s">
        <v>119</v>
      </c>
      <c r="G43" s="130" t="s">
        <v>83</v>
      </c>
      <c r="I43" s="131" t="s">
        <v>120</v>
      </c>
      <c r="J43" s="132"/>
      <c r="K43" s="132"/>
      <c r="L43" s="132"/>
      <c r="M43" s="132"/>
      <c r="N43" s="132"/>
      <c r="O43" s="132"/>
      <c r="P43" s="133">
        <f>+U98</f>
        <v>0.1314210832118988</v>
      </c>
      <c r="Q43" s="134"/>
      <c r="DC43" s="21" t="s">
        <v>11</v>
      </c>
    </row>
    <row r="44" spans="2:107">
      <c r="B44" s="9" t="s">
        <v>54</v>
      </c>
      <c r="C44" s="135"/>
      <c r="D44" s="60">
        <v>200</v>
      </c>
      <c r="E44" s="25">
        <f>+D44*$N$123*1</f>
        <v>1600</v>
      </c>
      <c r="F44" s="61">
        <f>+E44/$E$47</f>
        <v>0.52459016393442626</v>
      </c>
      <c r="G44" s="61">
        <f>+E44/$E$69</f>
        <v>1.5237035611104454E-3</v>
      </c>
      <c r="I44" s="117" t="s">
        <v>121</v>
      </c>
      <c r="J44" s="117"/>
      <c r="K44" s="117"/>
      <c r="L44" s="117"/>
      <c r="M44" s="117"/>
      <c r="N44" s="117"/>
      <c r="O44" s="117"/>
      <c r="P44" s="136">
        <f>+U67</f>
        <v>99378.973333333386</v>
      </c>
      <c r="Q44" s="137"/>
      <c r="DC44" s="21" t="s">
        <v>11</v>
      </c>
    </row>
    <row r="45" spans="2:107">
      <c r="B45" s="9" t="s">
        <v>60</v>
      </c>
      <c r="C45" s="138"/>
      <c r="D45" s="139">
        <f>+E45/N123</f>
        <v>62.5</v>
      </c>
      <c r="E45" s="60">
        <v>500</v>
      </c>
      <c r="F45" s="61">
        <f>+E45/$E$47</f>
        <v>0.16393442622950818</v>
      </c>
      <c r="G45" s="61">
        <f>+E45/$E$69</f>
        <v>4.7615736284701421E-4</v>
      </c>
      <c r="I45" s="140" t="s">
        <v>122</v>
      </c>
      <c r="J45" s="141"/>
      <c r="K45" s="140"/>
      <c r="L45" s="140"/>
      <c r="M45" s="140"/>
      <c r="N45" s="140"/>
      <c r="O45" s="140"/>
      <c r="P45" s="142">
        <f>+U91</f>
        <v>85123.580225756159</v>
      </c>
      <c r="Q45" s="143"/>
      <c r="T45" s="144" t="s">
        <v>123</v>
      </c>
      <c r="U45" s="145"/>
      <c r="V45" s="146"/>
      <c r="W45" s="146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6"/>
      <c r="AM45" s="146"/>
      <c r="AN45" s="146"/>
      <c r="AO45" s="146"/>
      <c r="AP45" s="146"/>
      <c r="AQ45" s="146"/>
      <c r="AR45" s="146"/>
      <c r="AS45" s="146"/>
      <c r="AT45" s="146"/>
      <c r="AU45" s="146"/>
      <c r="AV45" s="146"/>
      <c r="AW45" s="146"/>
      <c r="AX45" s="146"/>
      <c r="AY45" s="146"/>
      <c r="AZ45" s="146"/>
      <c r="BA45" s="146"/>
      <c r="BB45" s="146"/>
      <c r="BC45" s="146"/>
      <c r="BD45" s="146"/>
      <c r="BE45" s="146"/>
      <c r="BF45" s="146"/>
      <c r="BG45" s="146"/>
      <c r="BH45" s="146"/>
      <c r="BI45" s="146"/>
      <c r="BJ45" s="146"/>
      <c r="BK45" s="146"/>
      <c r="BL45" s="146"/>
      <c r="BM45" s="146"/>
      <c r="BN45" s="146"/>
      <c r="BO45" s="146"/>
      <c r="BP45" s="146"/>
      <c r="BQ45" s="146"/>
      <c r="BR45" s="146"/>
      <c r="BS45" s="146"/>
      <c r="BT45" s="146"/>
      <c r="BU45" s="146"/>
      <c r="BV45" s="146"/>
      <c r="BW45" s="146"/>
      <c r="BX45" s="146"/>
      <c r="BY45" s="146"/>
      <c r="BZ45" s="146"/>
      <c r="CA45" s="146"/>
      <c r="CB45" s="146"/>
      <c r="CC45" s="146"/>
      <c r="CD45" s="146"/>
      <c r="CE45" s="146"/>
      <c r="CF45" s="146"/>
      <c r="CG45" s="146"/>
      <c r="CH45" s="146"/>
      <c r="CI45" s="146"/>
      <c r="CJ45" s="146"/>
      <c r="CK45" s="146"/>
      <c r="CL45" s="146"/>
      <c r="CM45" s="146"/>
      <c r="CN45" s="146"/>
      <c r="CO45" s="146"/>
      <c r="CP45" s="146"/>
      <c r="CQ45" s="146"/>
      <c r="CR45" s="146"/>
      <c r="CS45" s="146"/>
      <c r="CT45" s="146"/>
      <c r="CU45" s="146"/>
      <c r="CV45" s="146"/>
      <c r="CW45" s="146"/>
      <c r="CX45" s="146"/>
      <c r="CY45" s="146"/>
      <c r="CZ45" s="146"/>
      <c r="DA45" s="146"/>
      <c r="DB45" s="146"/>
      <c r="DC45" s="21" t="s">
        <v>11</v>
      </c>
    </row>
    <row r="46" spans="2:107">
      <c r="B46" s="9" t="s">
        <v>57</v>
      </c>
      <c r="C46" s="135"/>
      <c r="D46" s="139">
        <f>+E46/12</f>
        <v>79.166666666666671</v>
      </c>
      <c r="E46" s="97">
        <v>950</v>
      </c>
      <c r="F46" s="147">
        <f>+E46/$E$47</f>
        <v>0.31147540983606559</v>
      </c>
      <c r="G46" s="147">
        <f>+E46/$E$69</f>
        <v>9.0469898940932693E-4</v>
      </c>
      <c r="I46" s="140"/>
      <c r="J46" s="141"/>
      <c r="K46" s="140"/>
      <c r="L46" s="140"/>
      <c r="M46" s="140"/>
      <c r="N46" s="140"/>
      <c r="O46" s="148"/>
      <c r="P46" s="142"/>
      <c r="Q46" s="143"/>
      <c r="U46" s="58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9"/>
      <c r="AV46" s="59"/>
      <c r="AW46" s="59"/>
      <c r="AX46" s="59"/>
      <c r="AY46" s="59"/>
      <c r="AZ46" s="59"/>
      <c r="BA46" s="59"/>
      <c r="BB46" s="59"/>
      <c r="BC46" s="59"/>
      <c r="BD46" s="59"/>
      <c r="BE46" s="59"/>
      <c r="BF46" s="59"/>
      <c r="BG46" s="59"/>
      <c r="BH46" s="59"/>
      <c r="BI46" s="59"/>
      <c r="BJ46" s="59"/>
      <c r="BK46" s="59"/>
      <c r="BL46" s="59"/>
      <c r="BM46" s="59"/>
      <c r="BN46" s="59"/>
      <c r="BO46" s="59"/>
      <c r="BP46" s="59"/>
      <c r="BQ46" s="59"/>
      <c r="BR46" s="59"/>
      <c r="BS46" s="59"/>
      <c r="BT46" s="59"/>
      <c r="BU46" s="59"/>
      <c r="BV46" s="59"/>
      <c r="BW46" s="59"/>
      <c r="BX46" s="59"/>
      <c r="BY46" s="59"/>
      <c r="BZ46" s="59"/>
      <c r="CA46" s="59"/>
      <c r="CB46" s="59"/>
      <c r="CC46" s="59"/>
      <c r="CD46" s="59"/>
      <c r="CE46" s="59"/>
      <c r="CF46" s="59"/>
      <c r="CG46" s="59"/>
      <c r="CH46" s="59"/>
      <c r="CI46" s="59"/>
      <c r="CJ46" s="59"/>
      <c r="CK46" s="59"/>
      <c r="CL46" s="59"/>
      <c r="CM46" s="59"/>
      <c r="CN46" s="59"/>
      <c r="CO46" s="59"/>
      <c r="CP46" s="59"/>
      <c r="CQ46" s="59"/>
      <c r="CR46" s="59"/>
      <c r="CS46" s="59"/>
      <c r="CT46" s="59"/>
      <c r="CU46" s="59"/>
      <c r="CV46" s="59"/>
      <c r="CW46" s="59"/>
      <c r="CX46" s="59"/>
      <c r="CY46" s="59"/>
      <c r="CZ46" s="59"/>
      <c r="DA46" s="59"/>
      <c r="DB46" s="59"/>
      <c r="DC46" s="21" t="s">
        <v>11</v>
      </c>
    </row>
    <row r="47" spans="2:107">
      <c r="B47" s="86" t="s">
        <v>29</v>
      </c>
      <c r="C47" s="149"/>
      <c r="D47" s="87">
        <f>+SUM(D44:D46)</f>
        <v>341.66666666666669</v>
      </c>
      <c r="E47" s="100">
        <f>+SUM(E44:E46)</f>
        <v>3050</v>
      </c>
      <c r="F47" s="150">
        <f>+SUM(F44:F46)</f>
        <v>1</v>
      </c>
      <c r="G47" s="151">
        <f>+E47/$E$69</f>
        <v>2.9045599133667864E-3</v>
      </c>
      <c r="I47" s="152" t="s">
        <v>124</v>
      </c>
      <c r="J47" s="18"/>
      <c r="K47" s="18"/>
      <c r="L47" s="18"/>
      <c r="M47" s="18"/>
      <c r="N47" s="18"/>
      <c r="O47" s="18"/>
      <c r="P47" s="153">
        <f>+U50</f>
        <v>1148856.1599999999</v>
      </c>
      <c r="Q47" s="137"/>
      <c r="T47" s="57" t="s">
        <v>125</v>
      </c>
      <c r="U47" s="154">
        <f>+SUM(V47:DB47)</f>
        <v>1196800</v>
      </c>
      <c r="V47" s="59">
        <f t="shared" ref="V47:CG47" si="49">+V147*$P$20</f>
        <v>0</v>
      </c>
      <c r="W47" s="59">
        <f t="shared" si="49"/>
        <v>0</v>
      </c>
      <c r="X47" s="59">
        <f t="shared" si="49"/>
        <v>0</v>
      </c>
      <c r="Y47" s="59">
        <f t="shared" si="49"/>
        <v>0</v>
      </c>
      <c r="Z47" s="59">
        <f t="shared" si="49"/>
        <v>0</v>
      </c>
      <c r="AA47" s="59">
        <f t="shared" si="49"/>
        <v>0</v>
      </c>
      <c r="AB47" s="59">
        <f t="shared" si="49"/>
        <v>0</v>
      </c>
      <c r="AC47" s="59">
        <f t="shared" si="49"/>
        <v>0</v>
      </c>
      <c r="AD47" s="59">
        <f t="shared" si="49"/>
        <v>1196800</v>
      </c>
      <c r="AE47" s="59">
        <f t="shared" si="49"/>
        <v>0</v>
      </c>
      <c r="AF47" s="59">
        <f t="shared" si="49"/>
        <v>0</v>
      </c>
      <c r="AG47" s="59">
        <f t="shared" si="49"/>
        <v>0</v>
      </c>
      <c r="AH47" s="59">
        <f t="shared" si="49"/>
        <v>0</v>
      </c>
      <c r="AI47" s="59">
        <f t="shared" si="49"/>
        <v>0</v>
      </c>
      <c r="AJ47" s="59">
        <f t="shared" si="49"/>
        <v>0</v>
      </c>
      <c r="AK47" s="59">
        <f t="shared" si="49"/>
        <v>0</v>
      </c>
      <c r="AL47" s="59">
        <f t="shared" si="49"/>
        <v>0</v>
      </c>
      <c r="AM47" s="59">
        <f t="shared" si="49"/>
        <v>0</v>
      </c>
      <c r="AN47" s="59">
        <f t="shared" si="49"/>
        <v>0</v>
      </c>
      <c r="AO47" s="59">
        <f t="shared" si="49"/>
        <v>0</v>
      </c>
      <c r="AP47" s="59">
        <f t="shared" si="49"/>
        <v>0</v>
      </c>
      <c r="AQ47" s="59">
        <f t="shared" si="49"/>
        <v>0</v>
      </c>
      <c r="AR47" s="59">
        <f t="shared" si="49"/>
        <v>0</v>
      </c>
      <c r="AS47" s="59">
        <f t="shared" si="49"/>
        <v>0</v>
      </c>
      <c r="AT47" s="59">
        <f t="shared" si="49"/>
        <v>0</v>
      </c>
      <c r="AU47" s="59">
        <f t="shared" si="49"/>
        <v>0</v>
      </c>
      <c r="AV47" s="59">
        <f t="shared" si="49"/>
        <v>0</v>
      </c>
      <c r="AW47" s="59">
        <f t="shared" si="49"/>
        <v>0</v>
      </c>
      <c r="AX47" s="59">
        <f t="shared" si="49"/>
        <v>0</v>
      </c>
      <c r="AY47" s="59">
        <f t="shared" si="49"/>
        <v>0</v>
      </c>
      <c r="AZ47" s="59">
        <f t="shared" si="49"/>
        <v>0</v>
      </c>
      <c r="BA47" s="59">
        <f t="shared" si="49"/>
        <v>0</v>
      </c>
      <c r="BB47" s="59">
        <f t="shared" si="49"/>
        <v>0</v>
      </c>
      <c r="BC47" s="59">
        <f t="shared" si="49"/>
        <v>0</v>
      </c>
      <c r="BD47" s="59">
        <f t="shared" si="49"/>
        <v>0</v>
      </c>
      <c r="BE47" s="59">
        <f t="shared" si="49"/>
        <v>0</v>
      </c>
      <c r="BF47" s="59">
        <f t="shared" si="49"/>
        <v>0</v>
      </c>
      <c r="BG47" s="59">
        <f t="shared" si="49"/>
        <v>0</v>
      </c>
      <c r="BH47" s="59">
        <f t="shared" si="49"/>
        <v>0</v>
      </c>
      <c r="BI47" s="59">
        <f t="shared" si="49"/>
        <v>0</v>
      </c>
      <c r="BJ47" s="59">
        <f t="shared" si="49"/>
        <v>0</v>
      </c>
      <c r="BK47" s="59">
        <f t="shared" si="49"/>
        <v>0</v>
      </c>
      <c r="BL47" s="59">
        <f t="shared" si="49"/>
        <v>0</v>
      </c>
      <c r="BM47" s="59">
        <f t="shared" si="49"/>
        <v>0</v>
      </c>
      <c r="BN47" s="59">
        <f t="shared" si="49"/>
        <v>0</v>
      </c>
      <c r="BO47" s="59">
        <f t="shared" si="49"/>
        <v>0</v>
      </c>
      <c r="BP47" s="59">
        <f t="shared" si="49"/>
        <v>0</v>
      </c>
      <c r="BQ47" s="59">
        <f t="shared" si="49"/>
        <v>0</v>
      </c>
      <c r="BR47" s="59">
        <f t="shared" si="49"/>
        <v>0</v>
      </c>
      <c r="BS47" s="59">
        <f t="shared" si="49"/>
        <v>0</v>
      </c>
      <c r="BT47" s="59">
        <f t="shared" si="49"/>
        <v>0</v>
      </c>
      <c r="BU47" s="59">
        <f t="shared" si="49"/>
        <v>0</v>
      </c>
      <c r="BV47" s="59">
        <f t="shared" si="49"/>
        <v>0</v>
      </c>
      <c r="BW47" s="59">
        <f t="shared" si="49"/>
        <v>0</v>
      </c>
      <c r="BX47" s="59">
        <f t="shared" si="49"/>
        <v>0</v>
      </c>
      <c r="BY47" s="59">
        <f t="shared" si="49"/>
        <v>0</v>
      </c>
      <c r="BZ47" s="59">
        <f t="shared" si="49"/>
        <v>0</v>
      </c>
      <c r="CA47" s="59">
        <f t="shared" si="49"/>
        <v>0</v>
      </c>
      <c r="CB47" s="59">
        <f t="shared" si="49"/>
        <v>0</v>
      </c>
      <c r="CC47" s="59">
        <f t="shared" si="49"/>
        <v>0</v>
      </c>
      <c r="CD47" s="59">
        <f t="shared" si="49"/>
        <v>0</v>
      </c>
      <c r="CE47" s="59">
        <f t="shared" si="49"/>
        <v>0</v>
      </c>
      <c r="CF47" s="59">
        <f t="shared" si="49"/>
        <v>0</v>
      </c>
      <c r="CG47" s="59">
        <f t="shared" si="49"/>
        <v>0</v>
      </c>
      <c r="CH47" s="59">
        <f t="shared" ref="CH47:DB47" si="50">+CH147*$P$20</f>
        <v>0</v>
      </c>
      <c r="CI47" s="59">
        <f t="shared" si="50"/>
        <v>0</v>
      </c>
      <c r="CJ47" s="59">
        <f t="shared" si="50"/>
        <v>0</v>
      </c>
      <c r="CK47" s="59">
        <f t="shared" si="50"/>
        <v>0</v>
      </c>
      <c r="CL47" s="59">
        <f t="shared" si="50"/>
        <v>0</v>
      </c>
      <c r="CM47" s="59">
        <f t="shared" si="50"/>
        <v>0</v>
      </c>
      <c r="CN47" s="59">
        <f t="shared" si="50"/>
        <v>0</v>
      </c>
      <c r="CO47" s="59">
        <f t="shared" si="50"/>
        <v>0</v>
      </c>
      <c r="CP47" s="59">
        <f t="shared" si="50"/>
        <v>0</v>
      </c>
      <c r="CQ47" s="59">
        <f t="shared" si="50"/>
        <v>0</v>
      </c>
      <c r="CR47" s="59">
        <f t="shared" si="50"/>
        <v>0</v>
      </c>
      <c r="CS47" s="59">
        <f t="shared" si="50"/>
        <v>0</v>
      </c>
      <c r="CT47" s="59">
        <f t="shared" si="50"/>
        <v>0</v>
      </c>
      <c r="CU47" s="59">
        <f t="shared" si="50"/>
        <v>0</v>
      </c>
      <c r="CV47" s="59">
        <f t="shared" si="50"/>
        <v>0</v>
      </c>
      <c r="CW47" s="59">
        <f t="shared" si="50"/>
        <v>0</v>
      </c>
      <c r="CX47" s="59">
        <f t="shared" si="50"/>
        <v>0</v>
      </c>
      <c r="CY47" s="59">
        <f t="shared" si="50"/>
        <v>0</v>
      </c>
      <c r="CZ47" s="59">
        <f t="shared" si="50"/>
        <v>0</v>
      </c>
      <c r="DA47" s="59">
        <f t="shared" si="50"/>
        <v>0</v>
      </c>
      <c r="DB47" s="59">
        <f t="shared" si="50"/>
        <v>0</v>
      </c>
      <c r="DC47" s="21" t="s">
        <v>11</v>
      </c>
    </row>
    <row r="48" spans="2:107">
      <c r="D48" s="120"/>
      <c r="E48" s="34"/>
      <c r="I48" s="152" t="s">
        <v>126</v>
      </c>
      <c r="J48" s="18"/>
      <c r="K48" s="18"/>
      <c r="L48" s="18"/>
      <c r="M48" s="18"/>
      <c r="N48" s="18"/>
      <c r="O48" s="155"/>
      <c r="P48" s="153">
        <f>+-U76</f>
        <v>1048998.0199999998</v>
      </c>
      <c r="Q48" s="137"/>
      <c r="T48" s="57" t="s">
        <v>127</v>
      </c>
      <c r="U48" s="154">
        <f>+SUM(V48:DB48)</f>
        <v>-43443.839999999997</v>
      </c>
      <c r="V48" s="59">
        <f t="shared" ref="V48:CG48" si="51">+-$M$21*V47</f>
        <v>0</v>
      </c>
      <c r="W48" s="59">
        <f t="shared" si="51"/>
        <v>0</v>
      </c>
      <c r="X48" s="59">
        <f t="shared" si="51"/>
        <v>0</v>
      </c>
      <c r="Y48" s="59">
        <f t="shared" si="51"/>
        <v>0</v>
      </c>
      <c r="Z48" s="59">
        <f t="shared" si="51"/>
        <v>0</v>
      </c>
      <c r="AA48" s="59">
        <f t="shared" si="51"/>
        <v>0</v>
      </c>
      <c r="AB48" s="59">
        <f t="shared" si="51"/>
        <v>0</v>
      </c>
      <c r="AC48" s="59">
        <f t="shared" si="51"/>
        <v>0</v>
      </c>
      <c r="AD48" s="59">
        <f t="shared" si="51"/>
        <v>-43443.839999999997</v>
      </c>
      <c r="AE48" s="59">
        <f t="shared" si="51"/>
        <v>0</v>
      </c>
      <c r="AF48" s="59">
        <f t="shared" si="51"/>
        <v>0</v>
      </c>
      <c r="AG48" s="59">
        <f t="shared" si="51"/>
        <v>0</v>
      </c>
      <c r="AH48" s="59">
        <f t="shared" si="51"/>
        <v>0</v>
      </c>
      <c r="AI48" s="59">
        <f t="shared" si="51"/>
        <v>0</v>
      </c>
      <c r="AJ48" s="59">
        <f t="shared" si="51"/>
        <v>0</v>
      </c>
      <c r="AK48" s="59">
        <f t="shared" si="51"/>
        <v>0</v>
      </c>
      <c r="AL48" s="59">
        <f t="shared" si="51"/>
        <v>0</v>
      </c>
      <c r="AM48" s="59">
        <f t="shared" si="51"/>
        <v>0</v>
      </c>
      <c r="AN48" s="59">
        <f t="shared" si="51"/>
        <v>0</v>
      </c>
      <c r="AO48" s="59">
        <f t="shared" si="51"/>
        <v>0</v>
      </c>
      <c r="AP48" s="59">
        <f t="shared" si="51"/>
        <v>0</v>
      </c>
      <c r="AQ48" s="59">
        <f t="shared" si="51"/>
        <v>0</v>
      </c>
      <c r="AR48" s="59">
        <f t="shared" si="51"/>
        <v>0</v>
      </c>
      <c r="AS48" s="59">
        <f t="shared" si="51"/>
        <v>0</v>
      </c>
      <c r="AT48" s="59">
        <f t="shared" si="51"/>
        <v>0</v>
      </c>
      <c r="AU48" s="59">
        <f t="shared" si="51"/>
        <v>0</v>
      </c>
      <c r="AV48" s="59">
        <f t="shared" si="51"/>
        <v>0</v>
      </c>
      <c r="AW48" s="59">
        <f t="shared" si="51"/>
        <v>0</v>
      </c>
      <c r="AX48" s="59">
        <f t="shared" si="51"/>
        <v>0</v>
      </c>
      <c r="AY48" s="59">
        <f t="shared" si="51"/>
        <v>0</v>
      </c>
      <c r="AZ48" s="59">
        <f t="shared" si="51"/>
        <v>0</v>
      </c>
      <c r="BA48" s="59">
        <f t="shared" si="51"/>
        <v>0</v>
      </c>
      <c r="BB48" s="59">
        <f t="shared" si="51"/>
        <v>0</v>
      </c>
      <c r="BC48" s="59">
        <f t="shared" si="51"/>
        <v>0</v>
      </c>
      <c r="BD48" s="59">
        <f t="shared" si="51"/>
        <v>0</v>
      </c>
      <c r="BE48" s="59">
        <f t="shared" si="51"/>
        <v>0</v>
      </c>
      <c r="BF48" s="59">
        <f t="shared" si="51"/>
        <v>0</v>
      </c>
      <c r="BG48" s="59">
        <f t="shared" si="51"/>
        <v>0</v>
      </c>
      <c r="BH48" s="59">
        <f t="shared" si="51"/>
        <v>0</v>
      </c>
      <c r="BI48" s="59">
        <f t="shared" si="51"/>
        <v>0</v>
      </c>
      <c r="BJ48" s="59">
        <f t="shared" si="51"/>
        <v>0</v>
      </c>
      <c r="BK48" s="59">
        <f t="shared" si="51"/>
        <v>0</v>
      </c>
      <c r="BL48" s="59">
        <f t="shared" si="51"/>
        <v>0</v>
      </c>
      <c r="BM48" s="59">
        <f t="shared" si="51"/>
        <v>0</v>
      </c>
      <c r="BN48" s="59">
        <f t="shared" si="51"/>
        <v>0</v>
      </c>
      <c r="BO48" s="59">
        <f t="shared" si="51"/>
        <v>0</v>
      </c>
      <c r="BP48" s="59">
        <f t="shared" si="51"/>
        <v>0</v>
      </c>
      <c r="BQ48" s="59">
        <f t="shared" si="51"/>
        <v>0</v>
      </c>
      <c r="BR48" s="59">
        <f t="shared" si="51"/>
        <v>0</v>
      </c>
      <c r="BS48" s="59">
        <f t="shared" si="51"/>
        <v>0</v>
      </c>
      <c r="BT48" s="59">
        <f t="shared" si="51"/>
        <v>0</v>
      </c>
      <c r="BU48" s="59">
        <f t="shared" si="51"/>
        <v>0</v>
      </c>
      <c r="BV48" s="59">
        <f t="shared" si="51"/>
        <v>0</v>
      </c>
      <c r="BW48" s="59">
        <f t="shared" si="51"/>
        <v>0</v>
      </c>
      <c r="BX48" s="59">
        <f t="shared" si="51"/>
        <v>0</v>
      </c>
      <c r="BY48" s="59">
        <f t="shared" si="51"/>
        <v>0</v>
      </c>
      <c r="BZ48" s="59">
        <f t="shared" si="51"/>
        <v>0</v>
      </c>
      <c r="CA48" s="59">
        <f t="shared" si="51"/>
        <v>0</v>
      </c>
      <c r="CB48" s="59">
        <f t="shared" si="51"/>
        <v>0</v>
      </c>
      <c r="CC48" s="59">
        <f t="shared" si="51"/>
        <v>0</v>
      </c>
      <c r="CD48" s="59">
        <f t="shared" si="51"/>
        <v>0</v>
      </c>
      <c r="CE48" s="59">
        <f t="shared" si="51"/>
        <v>0</v>
      </c>
      <c r="CF48" s="59">
        <f t="shared" si="51"/>
        <v>0</v>
      </c>
      <c r="CG48" s="59">
        <f t="shared" si="51"/>
        <v>0</v>
      </c>
      <c r="CH48" s="59">
        <f t="shared" ref="CH48:DB48" si="52">+-$M$21*CH47</f>
        <v>0</v>
      </c>
      <c r="CI48" s="59">
        <f t="shared" si="52"/>
        <v>0</v>
      </c>
      <c r="CJ48" s="59">
        <f t="shared" si="52"/>
        <v>0</v>
      </c>
      <c r="CK48" s="59">
        <f t="shared" si="52"/>
        <v>0</v>
      </c>
      <c r="CL48" s="59">
        <f t="shared" si="52"/>
        <v>0</v>
      </c>
      <c r="CM48" s="59">
        <f t="shared" si="52"/>
        <v>0</v>
      </c>
      <c r="CN48" s="59">
        <f t="shared" si="52"/>
        <v>0</v>
      </c>
      <c r="CO48" s="59">
        <f t="shared" si="52"/>
        <v>0</v>
      </c>
      <c r="CP48" s="59">
        <f t="shared" si="52"/>
        <v>0</v>
      </c>
      <c r="CQ48" s="59">
        <f t="shared" si="52"/>
        <v>0</v>
      </c>
      <c r="CR48" s="59">
        <f t="shared" si="52"/>
        <v>0</v>
      </c>
      <c r="CS48" s="59">
        <f t="shared" si="52"/>
        <v>0</v>
      </c>
      <c r="CT48" s="59">
        <f t="shared" si="52"/>
        <v>0</v>
      </c>
      <c r="CU48" s="59">
        <f t="shared" si="52"/>
        <v>0</v>
      </c>
      <c r="CV48" s="59">
        <f t="shared" si="52"/>
        <v>0</v>
      </c>
      <c r="CW48" s="59">
        <f t="shared" si="52"/>
        <v>0</v>
      </c>
      <c r="CX48" s="59">
        <f t="shared" si="52"/>
        <v>0</v>
      </c>
      <c r="CY48" s="59">
        <f t="shared" si="52"/>
        <v>0</v>
      </c>
      <c r="CZ48" s="59">
        <f t="shared" si="52"/>
        <v>0</v>
      </c>
      <c r="DA48" s="59">
        <f t="shared" si="52"/>
        <v>0</v>
      </c>
      <c r="DB48" s="59">
        <f t="shared" si="52"/>
        <v>0</v>
      </c>
      <c r="DC48" s="21" t="s">
        <v>11</v>
      </c>
    </row>
    <row r="49" spans="2:107">
      <c r="B49" s="3" t="s">
        <v>128</v>
      </c>
      <c r="C49" s="3"/>
      <c r="D49" s="3"/>
      <c r="E49" s="3"/>
      <c r="F49" s="3"/>
      <c r="G49" s="3"/>
      <c r="I49" s="156" t="s">
        <v>129</v>
      </c>
      <c r="J49" s="157"/>
      <c r="K49" s="157"/>
      <c r="L49" s="157"/>
      <c r="M49" s="157"/>
      <c r="N49" s="157"/>
      <c r="O49" s="157"/>
      <c r="P49" s="158">
        <f>+$U$102</f>
        <v>1.0608606345790024</v>
      </c>
      <c r="Q49" s="159"/>
      <c r="T49" s="57" t="s">
        <v>71</v>
      </c>
      <c r="U49" s="58">
        <f>+SUM(V49:DB49)</f>
        <v>-4500</v>
      </c>
      <c r="V49" s="59">
        <f t="shared" ref="V49:CG49" si="53">+V147*$P$26</f>
        <v>0</v>
      </c>
      <c r="W49" s="59">
        <f t="shared" si="53"/>
        <v>0</v>
      </c>
      <c r="X49" s="59">
        <f t="shared" si="53"/>
        <v>0</v>
      </c>
      <c r="Y49" s="59">
        <f t="shared" si="53"/>
        <v>0</v>
      </c>
      <c r="Z49" s="59">
        <f t="shared" si="53"/>
        <v>0</v>
      </c>
      <c r="AA49" s="59">
        <f t="shared" si="53"/>
        <v>0</v>
      </c>
      <c r="AB49" s="59">
        <f t="shared" si="53"/>
        <v>0</v>
      </c>
      <c r="AC49" s="59">
        <f t="shared" si="53"/>
        <v>0</v>
      </c>
      <c r="AD49" s="59">
        <f t="shared" si="53"/>
        <v>-4500</v>
      </c>
      <c r="AE49" s="59">
        <f t="shared" si="53"/>
        <v>0</v>
      </c>
      <c r="AF49" s="59">
        <f t="shared" si="53"/>
        <v>0</v>
      </c>
      <c r="AG49" s="59">
        <f t="shared" si="53"/>
        <v>0</v>
      </c>
      <c r="AH49" s="59">
        <f t="shared" si="53"/>
        <v>0</v>
      </c>
      <c r="AI49" s="59">
        <f t="shared" si="53"/>
        <v>0</v>
      </c>
      <c r="AJ49" s="59">
        <f t="shared" si="53"/>
        <v>0</v>
      </c>
      <c r="AK49" s="59">
        <f t="shared" si="53"/>
        <v>0</v>
      </c>
      <c r="AL49" s="59">
        <f t="shared" si="53"/>
        <v>0</v>
      </c>
      <c r="AM49" s="59">
        <f t="shared" si="53"/>
        <v>0</v>
      </c>
      <c r="AN49" s="59">
        <f t="shared" si="53"/>
        <v>0</v>
      </c>
      <c r="AO49" s="59">
        <f t="shared" si="53"/>
        <v>0</v>
      </c>
      <c r="AP49" s="59">
        <f t="shared" si="53"/>
        <v>0</v>
      </c>
      <c r="AQ49" s="59">
        <f t="shared" si="53"/>
        <v>0</v>
      </c>
      <c r="AR49" s="59">
        <f t="shared" si="53"/>
        <v>0</v>
      </c>
      <c r="AS49" s="59">
        <f t="shared" si="53"/>
        <v>0</v>
      </c>
      <c r="AT49" s="59">
        <f t="shared" si="53"/>
        <v>0</v>
      </c>
      <c r="AU49" s="59">
        <f t="shared" si="53"/>
        <v>0</v>
      </c>
      <c r="AV49" s="59">
        <f t="shared" si="53"/>
        <v>0</v>
      </c>
      <c r="AW49" s="59">
        <f t="shared" si="53"/>
        <v>0</v>
      </c>
      <c r="AX49" s="59">
        <f t="shared" si="53"/>
        <v>0</v>
      </c>
      <c r="AY49" s="59">
        <f t="shared" si="53"/>
        <v>0</v>
      </c>
      <c r="AZ49" s="59">
        <f t="shared" si="53"/>
        <v>0</v>
      </c>
      <c r="BA49" s="59">
        <f t="shared" si="53"/>
        <v>0</v>
      </c>
      <c r="BB49" s="59">
        <f t="shared" si="53"/>
        <v>0</v>
      </c>
      <c r="BC49" s="59">
        <f t="shared" si="53"/>
        <v>0</v>
      </c>
      <c r="BD49" s="59">
        <f t="shared" si="53"/>
        <v>0</v>
      </c>
      <c r="BE49" s="59">
        <f t="shared" si="53"/>
        <v>0</v>
      </c>
      <c r="BF49" s="59">
        <f t="shared" si="53"/>
        <v>0</v>
      </c>
      <c r="BG49" s="59">
        <f t="shared" si="53"/>
        <v>0</v>
      </c>
      <c r="BH49" s="59">
        <f t="shared" si="53"/>
        <v>0</v>
      </c>
      <c r="BI49" s="59">
        <f t="shared" si="53"/>
        <v>0</v>
      </c>
      <c r="BJ49" s="59">
        <f t="shared" si="53"/>
        <v>0</v>
      </c>
      <c r="BK49" s="59">
        <f t="shared" si="53"/>
        <v>0</v>
      </c>
      <c r="BL49" s="59">
        <f t="shared" si="53"/>
        <v>0</v>
      </c>
      <c r="BM49" s="59">
        <f t="shared" si="53"/>
        <v>0</v>
      </c>
      <c r="BN49" s="59">
        <f t="shared" si="53"/>
        <v>0</v>
      </c>
      <c r="BO49" s="59">
        <f t="shared" si="53"/>
        <v>0</v>
      </c>
      <c r="BP49" s="59">
        <f t="shared" si="53"/>
        <v>0</v>
      </c>
      <c r="BQ49" s="59">
        <f t="shared" si="53"/>
        <v>0</v>
      </c>
      <c r="BR49" s="59">
        <f t="shared" si="53"/>
        <v>0</v>
      </c>
      <c r="BS49" s="59">
        <f t="shared" si="53"/>
        <v>0</v>
      </c>
      <c r="BT49" s="59">
        <f t="shared" si="53"/>
        <v>0</v>
      </c>
      <c r="BU49" s="59">
        <f t="shared" si="53"/>
        <v>0</v>
      </c>
      <c r="BV49" s="59">
        <f t="shared" si="53"/>
        <v>0</v>
      </c>
      <c r="BW49" s="59">
        <f t="shared" si="53"/>
        <v>0</v>
      </c>
      <c r="BX49" s="59">
        <f t="shared" si="53"/>
        <v>0</v>
      </c>
      <c r="BY49" s="59">
        <f t="shared" si="53"/>
        <v>0</v>
      </c>
      <c r="BZ49" s="59">
        <f t="shared" si="53"/>
        <v>0</v>
      </c>
      <c r="CA49" s="59">
        <f t="shared" si="53"/>
        <v>0</v>
      </c>
      <c r="CB49" s="59">
        <f t="shared" si="53"/>
        <v>0</v>
      </c>
      <c r="CC49" s="59">
        <f t="shared" si="53"/>
        <v>0</v>
      </c>
      <c r="CD49" s="59">
        <f t="shared" si="53"/>
        <v>0</v>
      </c>
      <c r="CE49" s="59">
        <f t="shared" si="53"/>
        <v>0</v>
      </c>
      <c r="CF49" s="59">
        <f t="shared" si="53"/>
        <v>0</v>
      </c>
      <c r="CG49" s="59">
        <f t="shared" si="53"/>
        <v>0</v>
      </c>
      <c r="CH49" s="59">
        <f t="shared" ref="CH49:DB49" si="54">+CH147*$P$26</f>
        <v>0</v>
      </c>
      <c r="CI49" s="59">
        <f t="shared" si="54"/>
        <v>0</v>
      </c>
      <c r="CJ49" s="59">
        <f t="shared" si="54"/>
        <v>0</v>
      </c>
      <c r="CK49" s="59">
        <f t="shared" si="54"/>
        <v>0</v>
      </c>
      <c r="CL49" s="59">
        <f t="shared" si="54"/>
        <v>0</v>
      </c>
      <c r="CM49" s="59">
        <f t="shared" si="54"/>
        <v>0</v>
      </c>
      <c r="CN49" s="59">
        <f t="shared" si="54"/>
        <v>0</v>
      </c>
      <c r="CO49" s="59">
        <f t="shared" si="54"/>
        <v>0</v>
      </c>
      <c r="CP49" s="59">
        <f t="shared" si="54"/>
        <v>0</v>
      </c>
      <c r="CQ49" s="59">
        <f t="shared" si="54"/>
        <v>0</v>
      </c>
      <c r="CR49" s="59">
        <f t="shared" si="54"/>
        <v>0</v>
      </c>
      <c r="CS49" s="59">
        <f t="shared" si="54"/>
        <v>0</v>
      </c>
      <c r="CT49" s="59">
        <f t="shared" si="54"/>
        <v>0</v>
      </c>
      <c r="CU49" s="59">
        <f t="shared" si="54"/>
        <v>0</v>
      </c>
      <c r="CV49" s="59">
        <f t="shared" si="54"/>
        <v>0</v>
      </c>
      <c r="CW49" s="59">
        <f t="shared" si="54"/>
        <v>0</v>
      </c>
      <c r="CX49" s="59">
        <f t="shared" si="54"/>
        <v>0</v>
      </c>
      <c r="CY49" s="59">
        <f t="shared" si="54"/>
        <v>0</v>
      </c>
      <c r="CZ49" s="59">
        <f t="shared" si="54"/>
        <v>0</v>
      </c>
      <c r="DA49" s="59">
        <f t="shared" si="54"/>
        <v>0</v>
      </c>
      <c r="DB49" s="59">
        <f t="shared" si="54"/>
        <v>0</v>
      </c>
      <c r="DC49" s="21" t="s">
        <v>11</v>
      </c>
    </row>
    <row r="50" spans="2:107">
      <c r="B50" s="17" t="s">
        <v>130</v>
      </c>
      <c r="C50" s="18"/>
      <c r="D50" s="18"/>
      <c r="E50" s="18"/>
      <c r="F50" s="18"/>
      <c r="G50" s="18"/>
      <c r="I50" s="18" t="s">
        <v>131</v>
      </c>
      <c r="J50" s="18"/>
      <c r="K50" s="18"/>
      <c r="L50" s="18"/>
      <c r="M50" s="18"/>
      <c r="N50" s="18"/>
      <c r="O50" s="18"/>
      <c r="P50" s="160">
        <f>+P44/P47</f>
        <v>8.6502537735736559E-2</v>
      </c>
      <c r="Q50" s="161"/>
      <c r="T50" s="86" t="s">
        <v>132</v>
      </c>
      <c r="U50" s="162">
        <f>+SUM(V50:DB50)</f>
        <v>1148856.1599999999</v>
      </c>
      <c r="V50" s="89">
        <f>+SUM(V47:V49)</f>
        <v>0</v>
      </c>
      <c r="W50" s="89">
        <f t="shared" ref="W50:CH50" si="55">+SUM(W47:W49)</f>
        <v>0</v>
      </c>
      <c r="X50" s="89">
        <f t="shared" si="55"/>
        <v>0</v>
      </c>
      <c r="Y50" s="89">
        <f t="shared" si="55"/>
        <v>0</v>
      </c>
      <c r="Z50" s="89">
        <f t="shared" si="55"/>
        <v>0</v>
      </c>
      <c r="AA50" s="89">
        <f t="shared" si="55"/>
        <v>0</v>
      </c>
      <c r="AB50" s="89">
        <f t="shared" si="55"/>
        <v>0</v>
      </c>
      <c r="AC50" s="89">
        <f t="shared" si="55"/>
        <v>0</v>
      </c>
      <c r="AD50" s="89">
        <f t="shared" si="55"/>
        <v>1148856.1599999999</v>
      </c>
      <c r="AE50" s="89">
        <f t="shared" si="55"/>
        <v>0</v>
      </c>
      <c r="AF50" s="89">
        <f t="shared" si="55"/>
        <v>0</v>
      </c>
      <c r="AG50" s="89">
        <f t="shared" si="55"/>
        <v>0</v>
      </c>
      <c r="AH50" s="89">
        <f t="shared" si="55"/>
        <v>0</v>
      </c>
      <c r="AI50" s="89">
        <f t="shared" si="55"/>
        <v>0</v>
      </c>
      <c r="AJ50" s="89">
        <f t="shared" si="55"/>
        <v>0</v>
      </c>
      <c r="AK50" s="89">
        <f t="shared" si="55"/>
        <v>0</v>
      </c>
      <c r="AL50" s="89">
        <f t="shared" si="55"/>
        <v>0</v>
      </c>
      <c r="AM50" s="89">
        <f t="shared" si="55"/>
        <v>0</v>
      </c>
      <c r="AN50" s="89">
        <f t="shared" si="55"/>
        <v>0</v>
      </c>
      <c r="AO50" s="89">
        <f t="shared" si="55"/>
        <v>0</v>
      </c>
      <c r="AP50" s="89">
        <f t="shared" si="55"/>
        <v>0</v>
      </c>
      <c r="AQ50" s="89">
        <f t="shared" si="55"/>
        <v>0</v>
      </c>
      <c r="AR50" s="89">
        <f t="shared" si="55"/>
        <v>0</v>
      </c>
      <c r="AS50" s="89">
        <f t="shared" si="55"/>
        <v>0</v>
      </c>
      <c r="AT50" s="89">
        <f t="shared" si="55"/>
        <v>0</v>
      </c>
      <c r="AU50" s="89">
        <f t="shared" si="55"/>
        <v>0</v>
      </c>
      <c r="AV50" s="89">
        <f t="shared" si="55"/>
        <v>0</v>
      </c>
      <c r="AW50" s="89">
        <f t="shared" si="55"/>
        <v>0</v>
      </c>
      <c r="AX50" s="89">
        <f t="shared" si="55"/>
        <v>0</v>
      </c>
      <c r="AY50" s="89">
        <f t="shared" si="55"/>
        <v>0</v>
      </c>
      <c r="AZ50" s="89">
        <f t="shared" si="55"/>
        <v>0</v>
      </c>
      <c r="BA50" s="89">
        <f t="shared" si="55"/>
        <v>0</v>
      </c>
      <c r="BB50" s="89">
        <f t="shared" si="55"/>
        <v>0</v>
      </c>
      <c r="BC50" s="89">
        <f t="shared" si="55"/>
        <v>0</v>
      </c>
      <c r="BD50" s="89">
        <f t="shared" si="55"/>
        <v>0</v>
      </c>
      <c r="BE50" s="89">
        <f t="shared" si="55"/>
        <v>0</v>
      </c>
      <c r="BF50" s="89">
        <f t="shared" si="55"/>
        <v>0</v>
      </c>
      <c r="BG50" s="89">
        <f t="shared" si="55"/>
        <v>0</v>
      </c>
      <c r="BH50" s="89">
        <f t="shared" si="55"/>
        <v>0</v>
      </c>
      <c r="BI50" s="89">
        <f t="shared" si="55"/>
        <v>0</v>
      </c>
      <c r="BJ50" s="89">
        <f t="shared" si="55"/>
        <v>0</v>
      </c>
      <c r="BK50" s="89">
        <f t="shared" si="55"/>
        <v>0</v>
      </c>
      <c r="BL50" s="89">
        <f t="shared" si="55"/>
        <v>0</v>
      </c>
      <c r="BM50" s="89">
        <f t="shared" si="55"/>
        <v>0</v>
      </c>
      <c r="BN50" s="89">
        <f t="shared" si="55"/>
        <v>0</v>
      </c>
      <c r="BO50" s="89">
        <f t="shared" si="55"/>
        <v>0</v>
      </c>
      <c r="BP50" s="89">
        <f t="shared" si="55"/>
        <v>0</v>
      </c>
      <c r="BQ50" s="89">
        <f t="shared" si="55"/>
        <v>0</v>
      </c>
      <c r="BR50" s="89">
        <f t="shared" si="55"/>
        <v>0</v>
      </c>
      <c r="BS50" s="89">
        <f t="shared" si="55"/>
        <v>0</v>
      </c>
      <c r="BT50" s="89">
        <f t="shared" si="55"/>
        <v>0</v>
      </c>
      <c r="BU50" s="89">
        <f t="shared" si="55"/>
        <v>0</v>
      </c>
      <c r="BV50" s="89">
        <f t="shared" si="55"/>
        <v>0</v>
      </c>
      <c r="BW50" s="89">
        <f t="shared" si="55"/>
        <v>0</v>
      </c>
      <c r="BX50" s="89">
        <f t="shared" si="55"/>
        <v>0</v>
      </c>
      <c r="BY50" s="89">
        <f t="shared" si="55"/>
        <v>0</v>
      </c>
      <c r="BZ50" s="89">
        <f t="shared" si="55"/>
        <v>0</v>
      </c>
      <c r="CA50" s="89">
        <f t="shared" si="55"/>
        <v>0</v>
      </c>
      <c r="CB50" s="89">
        <f t="shared" si="55"/>
        <v>0</v>
      </c>
      <c r="CC50" s="89">
        <f t="shared" si="55"/>
        <v>0</v>
      </c>
      <c r="CD50" s="89">
        <f t="shared" si="55"/>
        <v>0</v>
      </c>
      <c r="CE50" s="89">
        <f t="shared" si="55"/>
        <v>0</v>
      </c>
      <c r="CF50" s="89">
        <f t="shared" si="55"/>
        <v>0</v>
      </c>
      <c r="CG50" s="89">
        <f t="shared" si="55"/>
        <v>0</v>
      </c>
      <c r="CH50" s="89">
        <f t="shared" si="55"/>
        <v>0</v>
      </c>
      <c r="CI50" s="89">
        <f t="shared" ref="CI50:DB50" si="56">+SUM(CI47:CI49)</f>
        <v>0</v>
      </c>
      <c r="CJ50" s="89">
        <f t="shared" si="56"/>
        <v>0</v>
      </c>
      <c r="CK50" s="89">
        <f t="shared" si="56"/>
        <v>0</v>
      </c>
      <c r="CL50" s="89">
        <f t="shared" si="56"/>
        <v>0</v>
      </c>
      <c r="CM50" s="89">
        <f t="shared" si="56"/>
        <v>0</v>
      </c>
      <c r="CN50" s="89">
        <f t="shared" si="56"/>
        <v>0</v>
      </c>
      <c r="CO50" s="89">
        <f t="shared" si="56"/>
        <v>0</v>
      </c>
      <c r="CP50" s="89">
        <f t="shared" si="56"/>
        <v>0</v>
      </c>
      <c r="CQ50" s="89">
        <f t="shared" si="56"/>
        <v>0</v>
      </c>
      <c r="CR50" s="89">
        <f t="shared" si="56"/>
        <v>0</v>
      </c>
      <c r="CS50" s="89">
        <f t="shared" si="56"/>
        <v>0</v>
      </c>
      <c r="CT50" s="89">
        <f t="shared" si="56"/>
        <v>0</v>
      </c>
      <c r="CU50" s="89">
        <f t="shared" si="56"/>
        <v>0</v>
      </c>
      <c r="CV50" s="89">
        <f t="shared" si="56"/>
        <v>0</v>
      </c>
      <c r="CW50" s="89">
        <f t="shared" si="56"/>
        <v>0</v>
      </c>
      <c r="CX50" s="89">
        <f t="shared" si="56"/>
        <v>0</v>
      </c>
      <c r="CY50" s="89">
        <f t="shared" si="56"/>
        <v>0</v>
      </c>
      <c r="CZ50" s="89">
        <f t="shared" si="56"/>
        <v>0</v>
      </c>
      <c r="DA50" s="89">
        <f t="shared" si="56"/>
        <v>0</v>
      </c>
      <c r="DB50" s="89">
        <f t="shared" si="56"/>
        <v>0</v>
      </c>
      <c r="DC50" s="21" t="s">
        <v>11</v>
      </c>
    </row>
    <row r="51" spans="2:107">
      <c r="C51" s="22" t="s">
        <v>133</v>
      </c>
      <c r="D51" s="22" t="s">
        <v>80</v>
      </c>
      <c r="E51" s="22" t="s">
        <v>81</v>
      </c>
      <c r="F51" s="22" t="s">
        <v>134</v>
      </c>
      <c r="G51" s="22" t="s">
        <v>83</v>
      </c>
      <c r="I51" s="18" t="s">
        <v>135</v>
      </c>
      <c r="J51" s="18"/>
      <c r="K51" s="18"/>
      <c r="L51" s="18"/>
      <c r="M51" s="18"/>
      <c r="N51" s="18"/>
      <c r="O51" s="18"/>
      <c r="P51" s="160">
        <f>+-P44/U34</f>
        <v>9.4838378578945254E-2</v>
      </c>
      <c r="Q51" s="161"/>
      <c r="U51" s="163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9"/>
      <c r="AV51" s="59"/>
      <c r="AW51" s="59"/>
      <c r="AX51" s="59"/>
      <c r="AY51" s="59"/>
      <c r="AZ51" s="59"/>
      <c r="BA51" s="59"/>
      <c r="BB51" s="59"/>
      <c r="BC51" s="59"/>
      <c r="BD51" s="59"/>
      <c r="BE51" s="59"/>
      <c r="BF51" s="59"/>
      <c r="BG51" s="59"/>
      <c r="BH51" s="59"/>
      <c r="BI51" s="59"/>
      <c r="BJ51" s="59"/>
      <c r="BK51" s="59"/>
      <c r="BL51" s="59"/>
      <c r="BM51" s="59"/>
      <c r="BN51" s="59"/>
      <c r="BO51" s="59"/>
      <c r="BP51" s="59"/>
      <c r="BQ51" s="59"/>
      <c r="BR51" s="59"/>
      <c r="BS51" s="59"/>
      <c r="BT51" s="59"/>
      <c r="BU51" s="59"/>
      <c r="BV51" s="59"/>
      <c r="BW51" s="59"/>
      <c r="BX51" s="59"/>
      <c r="BY51" s="59"/>
      <c r="BZ51" s="59"/>
      <c r="CA51" s="59"/>
      <c r="CB51" s="59"/>
      <c r="CC51" s="59"/>
      <c r="CD51" s="59"/>
      <c r="CE51" s="59"/>
      <c r="CF51" s="59"/>
      <c r="CG51" s="59"/>
      <c r="CH51" s="59"/>
      <c r="CI51" s="59"/>
      <c r="CJ51" s="59"/>
      <c r="CK51" s="59"/>
      <c r="CL51" s="59"/>
      <c r="CM51" s="59"/>
      <c r="CN51" s="59"/>
      <c r="CO51" s="59"/>
      <c r="CP51" s="59"/>
      <c r="CQ51" s="59"/>
      <c r="CR51" s="59"/>
      <c r="CS51" s="59"/>
      <c r="CT51" s="59"/>
      <c r="CU51" s="59"/>
      <c r="CV51" s="59"/>
      <c r="CW51" s="59"/>
      <c r="CX51" s="59"/>
      <c r="CY51" s="59"/>
      <c r="CZ51" s="59"/>
      <c r="DA51" s="59"/>
      <c r="DB51" s="59"/>
      <c r="DC51" s="21" t="s">
        <v>11</v>
      </c>
    </row>
    <row r="52" spans="2:107" ht="14.85" customHeight="1">
      <c r="B52" s="164" t="s">
        <v>136</v>
      </c>
      <c r="C52" s="165">
        <v>3.5000000000000003E-2</v>
      </c>
      <c r="D52" s="25">
        <f>+$D$22</f>
        <v>128</v>
      </c>
      <c r="E52" s="166">
        <f>+C52*E53</f>
        <v>5152.0000000000009</v>
      </c>
      <c r="F52" s="166">
        <f>+E52/$E$22</f>
        <v>46.000000000000007</v>
      </c>
      <c r="G52" s="135">
        <f t="shared" ref="G52:G60" si="57">+E52/$E$69</f>
        <v>4.9063254667756351E-3</v>
      </c>
      <c r="I52" s="167" t="s">
        <v>137</v>
      </c>
      <c r="J52" s="168"/>
      <c r="K52" s="168"/>
      <c r="L52" s="168"/>
      <c r="M52" s="168"/>
      <c r="N52" s="168"/>
      <c r="O52" s="168"/>
      <c r="P52" s="168"/>
      <c r="T52" s="169" t="s">
        <v>138</v>
      </c>
      <c r="U52" s="170">
        <f>+SUM(V52:DB52)</f>
        <v>99378.973333333386</v>
      </c>
      <c r="V52" s="171">
        <f t="shared" ref="V52:CG52" si="58">+V50+V34+V40</f>
        <v>0</v>
      </c>
      <c r="W52" s="171">
        <f t="shared" si="58"/>
        <v>-39450</v>
      </c>
      <c r="X52" s="171">
        <f t="shared" si="58"/>
        <v>-852822.16666666663</v>
      </c>
      <c r="Y52" s="171">
        <f t="shared" si="58"/>
        <v>-56679.166666666664</v>
      </c>
      <c r="Z52" s="171">
        <f t="shared" si="58"/>
        <v>-64679.166666666664</v>
      </c>
      <c r="AA52" s="171">
        <f t="shared" si="58"/>
        <v>-34409.186666666668</v>
      </c>
      <c r="AB52" s="171">
        <f t="shared" si="58"/>
        <v>-479.16666666666669</v>
      </c>
      <c r="AC52" s="171">
        <f t="shared" si="58"/>
        <v>-479.16666666666669</v>
      </c>
      <c r="AD52" s="171">
        <f t="shared" si="58"/>
        <v>1148376.9933333332</v>
      </c>
      <c r="AE52" s="171">
        <f t="shared" si="58"/>
        <v>0</v>
      </c>
      <c r="AF52" s="171">
        <f t="shared" si="58"/>
        <v>0</v>
      </c>
      <c r="AG52" s="171">
        <f t="shared" si="58"/>
        <v>0</v>
      </c>
      <c r="AH52" s="171">
        <f t="shared" si="58"/>
        <v>0</v>
      </c>
      <c r="AI52" s="171">
        <f t="shared" si="58"/>
        <v>0</v>
      </c>
      <c r="AJ52" s="171">
        <f t="shared" si="58"/>
        <v>0</v>
      </c>
      <c r="AK52" s="171">
        <f t="shared" si="58"/>
        <v>0</v>
      </c>
      <c r="AL52" s="171">
        <f t="shared" si="58"/>
        <v>0</v>
      </c>
      <c r="AM52" s="171">
        <f t="shared" si="58"/>
        <v>0</v>
      </c>
      <c r="AN52" s="171">
        <f t="shared" si="58"/>
        <v>0</v>
      </c>
      <c r="AO52" s="171">
        <f t="shared" si="58"/>
        <v>0</v>
      </c>
      <c r="AP52" s="171">
        <f t="shared" si="58"/>
        <v>0</v>
      </c>
      <c r="AQ52" s="171">
        <f t="shared" si="58"/>
        <v>0</v>
      </c>
      <c r="AR52" s="171">
        <f t="shared" si="58"/>
        <v>0</v>
      </c>
      <c r="AS52" s="171">
        <f t="shared" si="58"/>
        <v>0</v>
      </c>
      <c r="AT52" s="171">
        <f t="shared" si="58"/>
        <v>0</v>
      </c>
      <c r="AU52" s="171">
        <f t="shared" si="58"/>
        <v>0</v>
      </c>
      <c r="AV52" s="171">
        <f t="shared" si="58"/>
        <v>0</v>
      </c>
      <c r="AW52" s="171">
        <f t="shared" si="58"/>
        <v>0</v>
      </c>
      <c r="AX52" s="171">
        <f t="shared" si="58"/>
        <v>0</v>
      </c>
      <c r="AY52" s="171">
        <f t="shared" si="58"/>
        <v>0</v>
      </c>
      <c r="AZ52" s="171">
        <f t="shared" si="58"/>
        <v>0</v>
      </c>
      <c r="BA52" s="171">
        <f t="shared" si="58"/>
        <v>0</v>
      </c>
      <c r="BB52" s="171">
        <f t="shared" si="58"/>
        <v>0</v>
      </c>
      <c r="BC52" s="171">
        <f t="shared" si="58"/>
        <v>0</v>
      </c>
      <c r="BD52" s="171">
        <f t="shared" si="58"/>
        <v>0</v>
      </c>
      <c r="BE52" s="171">
        <f t="shared" si="58"/>
        <v>0</v>
      </c>
      <c r="BF52" s="171">
        <f t="shared" si="58"/>
        <v>0</v>
      </c>
      <c r="BG52" s="171">
        <f t="shared" si="58"/>
        <v>0</v>
      </c>
      <c r="BH52" s="171">
        <f t="shared" si="58"/>
        <v>0</v>
      </c>
      <c r="BI52" s="171">
        <f t="shared" si="58"/>
        <v>0</v>
      </c>
      <c r="BJ52" s="171">
        <f t="shared" si="58"/>
        <v>0</v>
      </c>
      <c r="BK52" s="171">
        <f t="shared" si="58"/>
        <v>0</v>
      </c>
      <c r="BL52" s="171">
        <f t="shared" si="58"/>
        <v>0</v>
      </c>
      <c r="BM52" s="171">
        <f t="shared" si="58"/>
        <v>0</v>
      </c>
      <c r="BN52" s="171">
        <f t="shared" si="58"/>
        <v>0</v>
      </c>
      <c r="BO52" s="171">
        <f t="shared" si="58"/>
        <v>0</v>
      </c>
      <c r="BP52" s="171">
        <f t="shared" si="58"/>
        <v>0</v>
      </c>
      <c r="BQ52" s="171">
        <f t="shared" si="58"/>
        <v>0</v>
      </c>
      <c r="BR52" s="171">
        <f t="shared" si="58"/>
        <v>0</v>
      </c>
      <c r="BS52" s="171">
        <f t="shared" si="58"/>
        <v>0</v>
      </c>
      <c r="BT52" s="171">
        <f t="shared" si="58"/>
        <v>0</v>
      </c>
      <c r="BU52" s="171">
        <f t="shared" si="58"/>
        <v>0</v>
      </c>
      <c r="BV52" s="171">
        <f t="shared" si="58"/>
        <v>0</v>
      </c>
      <c r="BW52" s="171">
        <f t="shared" si="58"/>
        <v>0</v>
      </c>
      <c r="BX52" s="171">
        <f t="shared" si="58"/>
        <v>0</v>
      </c>
      <c r="BY52" s="171">
        <f t="shared" si="58"/>
        <v>0</v>
      </c>
      <c r="BZ52" s="171">
        <f t="shared" si="58"/>
        <v>0</v>
      </c>
      <c r="CA52" s="171">
        <f t="shared" si="58"/>
        <v>0</v>
      </c>
      <c r="CB52" s="171">
        <f t="shared" si="58"/>
        <v>0</v>
      </c>
      <c r="CC52" s="171">
        <f t="shared" si="58"/>
        <v>0</v>
      </c>
      <c r="CD52" s="171">
        <f t="shared" si="58"/>
        <v>0</v>
      </c>
      <c r="CE52" s="171">
        <f t="shared" si="58"/>
        <v>0</v>
      </c>
      <c r="CF52" s="171">
        <f t="shared" si="58"/>
        <v>0</v>
      </c>
      <c r="CG52" s="171">
        <f t="shared" si="58"/>
        <v>0</v>
      </c>
      <c r="CH52" s="171">
        <f t="shared" ref="CH52:DB52" si="59">+CH50+CH34+CH40</f>
        <v>0</v>
      </c>
      <c r="CI52" s="171">
        <f t="shared" si="59"/>
        <v>0</v>
      </c>
      <c r="CJ52" s="171">
        <f t="shared" si="59"/>
        <v>0</v>
      </c>
      <c r="CK52" s="171">
        <f t="shared" si="59"/>
        <v>0</v>
      </c>
      <c r="CL52" s="171">
        <f t="shared" si="59"/>
        <v>0</v>
      </c>
      <c r="CM52" s="171">
        <f t="shared" si="59"/>
        <v>0</v>
      </c>
      <c r="CN52" s="171">
        <f t="shared" si="59"/>
        <v>0</v>
      </c>
      <c r="CO52" s="171">
        <f t="shared" si="59"/>
        <v>0</v>
      </c>
      <c r="CP52" s="171">
        <f t="shared" si="59"/>
        <v>0</v>
      </c>
      <c r="CQ52" s="171">
        <f t="shared" si="59"/>
        <v>0</v>
      </c>
      <c r="CR52" s="171">
        <f t="shared" si="59"/>
        <v>0</v>
      </c>
      <c r="CS52" s="171">
        <f t="shared" si="59"/>
        <v>0</v>
      </c>
      <c r="CT52" s="171">
        <f t="shared" si="59"/>
        <v>0</v>
      </c>
      <c r="CU52" s="171">
        <f t="shared" si="59"/>
        <v>0</v>
      </c>
      <c r="CV52" s="171">
        <f t="shared" si="59"/>
        <v>0</v>
      </c>
      <c r="CW52" s="171">
        <f t="shared" si="59"/>
        <v>0</v>
      </c>
      <c r="CX52" s="171">
        <f t="shared" si="59"/>
        <v>0</v>
      </c>
      <c r="CY52" s="171">
        <f t="shared" si="59"/>
        <v>0</v>
      </c>
      <c r="CZ52" s="171">
        <f t="shared" si="59"/>
        <v>0</v>
      </c>
      <c r="DA52" s="171">
        <f t="shared" si="59"/>
        <v>0</v>
      </c>
      <c r="DB52" s="171">
        <f t="shared" si="59"/>
        <v>0</v>
      </c>
      <c r="DC52" s="21" t="s">
        <v>11</v>
      </c>
    </row>
    <row r="53" spans="2:107">
      <c r="B53" s="164" t="s">
        <v>139</v>
      </c>
      <c r="C53" s="172">
        <v>1150</v>
      </c>
      <c r="D53" s="25">
        <f>+$D$22</f>
        <v>128</v>
      </c>
      <c r="E53" s="166">
        <f>+C53*D53</f>
        <v>147200</v>
      </c>
      <c r="F53" s="166">
        <f t="shared" ref="F53:F61" si="60">+E53/$E$22</f>
        <v>1314.2857142857142</v>
      </c>
      <c r="G53" s="135">
        <f t="shared" si="57"/>
        <v>0.14018072762216097</v>
      </c>
      <c r="I53" s="168"/>
      <c r="J53" s="168"/>
      <c r="K53" s="168"/>
      <c r="L53" s="167"/>
      <c r="M53" s="167"/>
      <c r="N53" s="167"/>
      <c r="O53" s="167"/>
      <c r="P53" s="167"/>
      <c r="T53" s="18" t="s">
        <v>140</v>
      </c>
      <c r="U53" s="173">
        <f>+XIRR(W52:DB52,W8:DB8)</f>
        <v>0.20818118453025822</v>
      </c>
      <c r="V53" s="174"/>
      <c r="W53" s="174"/>
      <c r="X53" s="174"/>
      <c r="Y53" s="174"/>
      <c r="Z53" s="174"/>
      <c r="AA53" s="174"/>
      <c r="AB53" s="174"/>
      <c r="AC53" s="174"/>
      <c r="AD53" s="174"/>
      <c r="AE53" s="174"/>
      <c r="AF53" s="174"/>
      <c r="AG53" s="174"/>
      <c r="AH53" s="174"/>
      <c r="AI53" s="174"/>
      <c r="AJ53" s="174"/>
      <c r="AK53" s="174"/>
      <c r="AL53" s="174"/>
      <c r="AM53" s="174"/>
      <c r="AN53" s="174"/>
      <c r="AO53" s="174"/>
      <c r="AP53" s="174"/>
      <c r="AQ53" s="174"/>
      <c r="AR53" s="174"/>
      <c r="AS53" s="174"/>
      <c r="AT53" s="174"/>
      <c r="AU53" s="174"/>
      <c r="AV53" s="174"/>
      <c r="AW53" s="174"/>
      <c r="AX53" s="174"/>
      <c r="AY53" s="174"/>
      <c r="AZ53" s="174"/>
      <c r="BA53" s="174"/>
      <c r="BB53" s="174"/>
      <c r="BC53" s="174"/>
      <c r="BD53" s="174"/>
      <c r="BE53" s="174"/>
      <c r="BF53" s="174"/>
      <c r="BG53" s="174"/>
      <c r="BH53" s="174"/>
      <c r="BI53" s="174"/>
      <c r="BJ53" s="174"/>
      <c r="BK53" s="174"/>
      <c r="BL53" s="174"/>
      <c r="BM53" s="174"/>
      <c r="BN53" s="174"/>
      <c r="BO53" s="174"/>
      <c r="BP53" s="174"/>
      <c r="BQ53" s="174"/>
      <c r="BR53" s="174"/>
      <c r="BS53" s="174"/>
      <c r="BT53" s="174"/>
      <c r="BU53" s="174"/>
      <c r="BV53" s="174"/>
      <c r="BW53" s="174"/>
      <c r="BX53" s="174"/>
      <c r="BY53" s="174"/>
      <c r="BZ53" s="174"/>
      <c r="CA53" s="174"/>
      <c r="CB53" s="174"/>
      <c r="CC53" s="174"/>
      <c r="CD53" s="174"/>
      <c r="CE53" s="174"/>
      <c r="CF53" s="174"/>
      <c r="CG53" s="174"/>
      <c r="CH53" s="174"/>
      <c r="CI53" s="174"/>
      <c r="CJ53" s="174"/>
      <c r="CK53" s="174"/>
      <c r="CL53" s="174"/>
      <c r="CM53" s="174"/>
      <c r="CN53" s="174"/>
      <c r="CO53" s="174"/>
      <c r="CP53" s="174"/>
      <c r="CQ53" s="174"/>
      <c r="CR53" s="174"/>
      <c r="CS53" s="174"/>
      <c r="CT53" s="174"/>
      <c r="CU53" s="174"/>
      <c r="CV53" s="174"/>
      <c r="CW53" s="174"/>
      <c r="CX53" s="174"/>
      <c r="CY53" s="174"/>
      <c r="CZ53" s="174"/>
      <c r="DA53" s="174"/>
      <c r="DB53" s="174"/>
      <c r="DC53" s="21" t="s">
        <v>11</v>
      </c>
    </row>
    <row r="54" spans="2:107">
      <c r="B54" s="57" t="s">
        <v>141</v>
      </c>
      <c r="C54" s="175">
        <v>0</v>
      </c>
      <c r="D54" s="60">
        <v>50</v>
      </c>
      <c r="E54" s="166">
        <f>+D54*C54</f>
        <v>0</v>
      </c>
      <c r="F54" s="166">
        <f t="shared" si="60"/>
        <v>0</v>
      </c>
      <c r="G54" s="135">
        <f t="shared" si="57"/>
        <v>0</v>
      </c>
      <c r="I54" s="168"/>
      <c r="J54" s="176"/>
      <c r="K54" s="168"/>
      <c r="L54" s="177"/>
      <c r="M54" s="177"/>
      <c r="N54" s="177"/>
      <c r="O54" s="177"/>
      <c r="P54" s="177"/>
      <c r="U54" s="58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/>
      <c r="BA54" s="59"/>
      <c r="BB54" s="59"/>
      <c r="BC54" s="59"/>
      <c r="BD54" s="59"/>
      <c r="BE54" s="59"/>
      <c r="BF54" s="59"/>
      <c r="BG54" s="59"/>
      <c r="BH54" s="59"/>
      <c r="BI54" s="59"/>
      <c r="BJ54" s="59"/>
      <c r="BK54" s="59"/>
      <c r="BL54" s="59"/>
      <c r="BM54" s="59"/>
      <c r="BN54" s="59"/>
      <c r="BO54" s="59"/>
      <c r="BP54" s="59"/>
      <c r="BQ54" s="59"/>
      <c r="BR54" s="59"/>
      <c r="BS54" s="59"/>
      <c r="BT54" s="59"/>
      <c r="BU54" s="59"/>
      <c r="BV54" s="59"/>
      <c r="BW54" s="59"/>
      <c r="BX54" s="59"/>
      <c r="BY54" s="59"/>
      <c r="BZ54" s="59"/>
      <c r="CA54" s="59"/>
      <c r="CB54" s="59"/>
      <c r="CC54" s="59"/>
      <c r="CD54" s="59"/>
      <c r="CE54" s="59"/>
      <c r="CF54" s="59"/>
      <c r="CG54" s="59"/>
      <c r="CH54" s="59"/>
      <c r="CI54" s="59"/>
      <c r="CJ54" s="59"/>
      <c r="CK54" s="59"/>
      <c r="CL54" s="59"/>
      <c r="CM54" s="59"/>
      <c r="CN54" s="59"/>
      <c r="CO54" s="59"/>
      <c r="CP54" s="59"/>
      <c r="CQ54" s="59"/>
      <c r="CR54" s="59"/>
      <c r="CS54" s="59"/>
      <c r="CT54" s="59"/>
      <c r="CU54" s="59"/>
      <c r="CV54" s="59"/>
      <c r="CW54" s="59"/>
      <c r="CX54" s="59"/>
      <c r="CY54" s="59"/>
      <c r="CZ54" s="59"/>
      <c r="DA54" s="59"/>
      <c r="DB54" s="59"/>
      <c r="DC54" s="21" t="s">
        <v>11</v>
      </c>
    </row>
    <row r="55" spans="2:107">
      <c r="B55" s="178" t="s">
        <v>142</v>
      </c>
      <c r="C55" s="179">
        <f>+E55/$D$22</f>
        <v>1190.25</v>
      </c>
      <c r="D55" s="180">
        <f>+C55/$C$34</f>
        <v>0.19407898089171974</v>
      </c>
      <c r="E55" s="181">
        <f>+SUM(E52:E54)</f>
        <v>152352</v>
      </c>
      <c r="F55" s="181">
        <f>+E55/$E$22</f>
        <v>1360.2857142857142</v>
      </c>
      <c r="G55" s="182">
        <f t="shared" si="57"/>
        <v>0.1450870530889366</v>
      </c>
      <c r="I55" s="368" t="s">
        <v>143</v>
      </c>
      <c r="J55" s="168"/>
      <c r="K55" s="183"/>
      <c r="L55" s="177"/>
      <c r="M55" s="177"/>
      <c r="N55" s="184"/>
      <c r="O55" s="177"/>
      <c r="P55" s="177"/>
      <c r="T55" s="144" t="s">
        <v>9</v>
      </c>
      <c r="U55" s="109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110"/>
      <c r="AU55" s="110"/>
      <c r="AV55" s="110"/>
      <c r="AW55" s="110"/>
      <c r="AX55" s="110"/>
      <c r="AY55" s="110"/>
      <c r="AZ55" s="110"/>
      <c r="BA55" s="110"/>
      <c r="BB55" s="110"/>
      <c r="BC55" s="110"/>
      <c r="BD55" s="110"/>
      <c r="BE55" s="110"/>
      <c r="BF55" s="110"/>
      <c r="BG55" s="110"/>
      <c r="BH55" s="110"/>
      <c r="BI55" s="110"/>
      <c r="BJ55" s="110"/>
      <c r="BK55" s="110"/>
      <c r="BL55" s="110"/>
      <c r="BM55" s="110"/>
      <c r="BN55" s="110"/>
      <c r="BO55" s="110"/>
      <c r="BP55" s="110"/>
      <c r="BQ55" s="110"/>
      <c r="BR55" s="110"/>
      <c r="BS55" s="110"/>
      <c r="BT55" s="110"/>
      <c r="BU55" s="110"/>
      <c r="BV55" s="110"/>
      <c r="BW55" s="110"/>
      <c r="BX55" s="110"/>
      <c r="BY55" s="110"/>
      <c r="BZ55" s="110"/>
      <c r="CA55" s="110"/>
      <c r="CB55" s="110"/>
      <c r="CC55" s="110"/>
      <c r="CD55" s="110"/>
      <c r="CE55" s="110"/>
      <c r="CF55" s="110"/>
      <c r="CG55" s="110"/>
      <c r="CH55" s="110"/>
      <c r="CI55" s="110"/>
      <c r="CJ55" s="110"/>
      <c r="CK55" s="110"/>
      <c r="CL55" s="110"/>
      <c r="CM55" s="110"/>
      <c r="CN55" s="110"/>
      <c r="CO55" s="110"/>
      <c r="CP55" s="110"/>
      <c r="CQ55" s="110"/>
      <c r="CR55" s="110"/>
      <c r="CS55" s="110"/>
      <c r="CT55" s="110"/>
      <c r="CU55" s="110"/>
      <c r="CV55" s="110"/>
      <c r="CW55" s="110"/>
      <c r="CX55" s="110"/>
      <c r="CY55" s="110"/>
      <c r="CZ55" s="110"/>
      <c r="DA55" s="110"/>
      <c r="DB55" s="110"/>
      <c r="DC55" s="21" t="s">
        <v>11</v>
      </c>
    </row>
    <row r="56" spans="2:107">
      <c r="B56" s="57" t="s">
        <v>144</v>
      </c>
      <c r="D56" s="185">
        <v>0</v>
      </c>
      <c r="E56" s="186">
        <f>1500*1.21</f>
        <v>1815</v>
      </c>
      <c r="F56" s="166">
        <f t="shared" si="60"/>
        <v>16.205357142857142</v>
      </c>
      <c r="G56" s="135">
        <f t="shared" si="57"/>
        <v>1.7284512271346615E-3</v>
      </c>
      <c r="I56" s="368"/>
      <c r="J56" s="187"/>
      <c r="K56" s="177"/>
      <c r="L56" s="188"/>
      <c r="M56" s="188"/>
      <c r="N56" s="188"/>
      <c r="O56" s="188"/>
      <c r="P56" s="188"/>
      <c r="U56" s="58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  <c r="AT56" s="59"/>
      <c r="AU56" s="59"/>
      <c r="AV56" s="59"/>
      <c r="AW56" s="59"/>
      <c r="AX56" s="59"/>
      <c r="AY56" s="59"/>
      <c r="AZ56" s="59"/>
      <c r="BA56" s="59"/>
      <c r="BB56" s="59"/>
      <c r="BC56" s="59"/>
      <c r="BD56" s="59"/>
      <c r="BE56" s="59"/>
      <c r="BF56" s="59"/>
      <c r="BG56" s="59"/>
      <c r="BH56" s="59"/>
      <c r="BI56" s="59"/>
      <c r="BJ56" s="59"/>
      <c r="BK56" s="59"/>
      <c r="BL56" s="59"/>
      <c r="BM56" s="59"/>
      <c r="BN56" s="59"/>
      <c r="BO56" s="59"/>
      <c r="BP56" s="59"/>
      <c r="BQ56" s="59"/>
      <c r="BR56" s="59"/>
      <c r="BS56" s="59"/>
      <c r="BT56" s="59"/>
      <c r="BU56" s="59"/>
      <c r="BV56" s="59"/>
      <c r="BW56" s="59"/>
      <c r="BX56" s="59"/>
      <c r="BY56" s="59"/>
      <c r="BZ56" s="59"/>
      <c r="CA56" s="59"/>
      <c r="CB56" s="59"/>
      <c r="CC56" s="59"/>
      <c r="CD56" s="59"/>
      <c r="CE56" s="59"/>
      <c r="CF56" s="59"/>
      <c r="CG56" s="59"/>
      <c r="CH56" s="59"/>
      <c r="CI56" s="59"/>
      <c r="CJ56" s="59"/>
      <c r="CK56" s="59"/>
      <c r="CL56" s="59"/>
      <c r="CM56" s="59"/>
      <c r="CN56" s="59"/>
      <c r="CO56" s="59"/>
      <c r="CP56" s="59"/>
      <c r="CQ56" s="59"/>
      <c r="CR56" s="59"/>
      <c r="CS56" s="59"/>
      <c r="CT56" s="59"/>
      <c r="CU56" s="59"/>
      <c r="CV56" s="59"/>
      <c r="CW56" s="59"/>
      <c r="CX56" s="59"/>
      <c r="CY56" s="59"/>
      <c r="CZ56" s="59"/>
      <c r="DA56" s="59"/>
      <c r="DB56" s="59"/>
      <c r="DC56" s="21" t="s">
        <v>11</v>
      </c>
    </row>
    <row r="57" spans="2:107">
      <c r="B57" s="57" t="s">
        <v>145</v>
      </c>
      <c r="D57" s="189">
        <f>1.5%*1.21*0</f>
        <v>0</v>
      </c>
      <c r="E57" s="166">
        <f>+D57*E55</f>
        <v>0</v>
      </c>
      <c r="F57" s="166">
        <f t="shared" si="60"/>
        <v>0</v>
      </c>
      <c r="G57" s="135">
        <f t="shared" si="57"/>
        <v>0</v>
      </c>
      <c r="I57" s="368"/>
      <c r="J57" s="187"/>
      <c r="K57" s="177"/>
      <c r="L57" s="188"/>
      <c r="M57" s="188"/>
      <c r="N57" s="188"/>
      <c r="O57" s="188"/>
      <c r="P57" s="188"/>
      <c r="T57" s="74" t="s">
        <v>146</v>
      </c>
      <c r="U57" s="190"/>
      <c r="V57" s="191"/>
      <c r="W57" s="191">
        <f>+V62</f>
        <v>0</v>
      </c>
      <c r="X57" s="191">
        <f t="shared" ref="X57:CI57" si="61">+W62</f>
        <v>0</v>
      </c>
      <c r="Y57" s="191">
        <f t="shared" si="61"/>
        <v>0</v>
      </c>
      <c r="Z57" s="191">
        <f t="shared" si="61"/>
        <v>0</v>
      </c>
      <c r="AA57" s="191">
        <f t="shared" si="61"/>
        <v>0</v>
      </c>
      <c r="AB57" s="191">
        <f t="shared" si="61"/>
        <v>0</v>
      </c>
      <c r="AC57" s="191">
        <f t="shared" si="61"/>
        <v>0</v>
      </c>
      <c r="AD57" s="191">
        <f t="shared" si="61"/>
        <v>0</v>
      </c>
      <c r="AE57" s="191">
        <f t="shared" si="61"/>
        <v>0</v>
      </c>
      <c r="AF57" s="191">
        <f t="shared" si="61"/>
        <v>0</v>
      </c>
      <c r="AG57" s="191">
        <f t="shared" si="61"/>
        <v>0</v>
      </c>
      <c r="AH57" s="191">
        <f t="shared" si="61"/>
        <v>0</v>
      </c>
      <c r="AI57" s="191">
        <f t="shared" si="61"/>
        <v>0</v>
      </c>
      <c r="AJ57" s="191">
        <f t="shared" si="61"/>
        <v>0</v>
      </c>
      <c r="AK57" s="191">
        <f t="shared" si="61"/>
        <v>0</v>
      </c>
      <c r="AL57" s="191">
        <f t="shared" si="61"/>
        <v>0</v>
      </c>
      <c r="AM57" s="191">
        <f t="shared" si="61"/>
        <v>0</v>
      </c>
      <c r="AN57" s="191">
        <f t="shared" si="61"/>
        <v>0</v>
      </c>
      <c r="AO57" s="191">
        <f t="shared" si="61"/>
        <v>0</v>
      </c>
      <c r="AP57" s="191">
        <f t="shared" si="61"/>
        <v>0</v>
      </c>
      <c r="AQ57" s="191">
        <f t="shared" si="61"/>
        <v>0</v>
      </c>
      <c r="AR57" s="191">
        <f t="shared" si="61"/>
        <v>0</v>
      </c>
      <c r="AS57" s="191">
        <f t="shared" si="61"/>
        <v>0</v>
      </c>
      <c r="AT57" s="191">
        <f t="shared" si="61"/>
        <v>0</v>
      </c>
      <c r="AU57" s="191">
        <f t="shared" si="61"/>
        <v>0</v>
      </c>
      <c r="AV57" s="191">
        <f t="shared" si="61"/>
        <v>0</v>
      </c>
      <c r="AW57" s="191">
        <f t="shared" si="61"/>
        <v>0</v>
      </c>
      <c r="AX57" s="191">
        <f t="shared" si="61"/>
        <v>0</v>
      </c>
      <c r="AY57" s="191">
        <f t="shared" si="61"/>
        <v>0</v>
      </c>
      <c r="AZ57" s="191">
        <f t="shared" si="61"/>
        <v>0</v>
      </c>
      <c r="BA57" s="191">
        <f t="shared" si="61"/>
        <v>0</v>
      </c>
      <c r="BB57" s="191">
        <f t="shared" si="61"/>
        <v>0</v>
      </c>
      <c r="BC57" s="191">
        <f t="shared" si="61"/>
        <v>0</v>
      </c>
      <c r="BD57" s="191">
        <f t="shared" si="61"/>
        <v>0</v>
      </c>
      <c r="BE57" s="191">
        <f t="shared" si="61"/>
        <v>0</v>
      </c>
      <c r="BF57" s="191">
        <f t="shared" si="61"/>
        <v>0</v>
      </c>
      <c r="BG57" s="191">
        <f t="shared" si="61"/>
        <v>0</v>
      </c>
      <c r="BH57" s="191">
        <f t="shared" si="61"/>
        <v>0</v>
      </c>
      <c r="BI57" s="191">
        <f t="shared" si="61"/>
        <v>0</v>
      </c>
      <c r="BJ57" s="191">
        <f t="shared" si="61"/>
        <v>0</v>
      </c>
      <c r="BK57" s="191">
        <f t="shared" si="61"/>
        <v>0</v>
      </c>
      <c r="BL57" s="191">
        <f t="shared" si="61"/>
        <v>0</v>
      </c>
      <c r="BM57" s="191">
        <f t="shared" si="61"/>
        <v>0</v>
      </c>
      <c r="BN57" s="191">
        <f t="shared" si="61"/>
        <v>0</v>
      </c>
      <c r="BO57" s="191">
        <f t="shared" si="61"/>
        <v>0</v>
      </c>
      <c r="BP57" s="191">
        <f t="shared" si="61"/>
        <v>0</v>
      </c>
      <c r="BQ57" s="191">
        <f t="shared" si="61"/>
        <v>0</v>
      </c>
      <c r="BR57" s="191">
        <f t="shared" si="61"/>
        <v>0</v>
      </c>
      <c r="BS57" s="191">
        <f t="shared" si="61"/>
        <v>0</v>
      </c>
      <c r="BT57" s="191">
        <f t="shared" si="61"/>
        <v>0</v>
      </c>
      <c r="BU57" s="191">
        <f t="shared" si="61"/>
        <v>0</v>
      </c>
      <c r="BV57" s="191">
        <f t="shared" si="61"/>
        <v>0</v>
      </c>
      <c r="BW57" s="191">
        <f t="shared" si="61"/>
        <v>0</v>
      </c>
      <c r="BX57" s="191">
        <f t="shared" si="61"/>
        <v>0</v>
      </c>
      <c r="BY57" s="191">
        <f t="shared" si="61"/>
        <v>0</v>
      </c>
      <c r="BZ57" s="191">
        <f t="shared" si="61"/>
        <v>0</v>
      </c>
      <c r="CA57" s="191">
        <f t="shared" si="61"/>
        <v>0</v>
      </c>
      <c r="CB57" s="191">
        <f t="shared" si="61"/>
        <v>0</v>
      </c>
      <c r="CC57" s="191">
        <f t="shared" si="61"/>
        <v>0</v>
      </c>
      <c r="CD57" s="191">
        <f t="shared" si="61"/>
        <v>0</v>
      </c>
      <c r="CE57" s="191">
        <f t="shared" si="61"/>
        <v>0</v>
      </c>
      <c r="CF57" s="191">
        <f t="shared" si="61"/>
        <v>0</v>
      </c>
      <c r="CG57" s="191">
        <f t="shared" si="61"/>
        <v>0</v>
      </c>
      <c r="CH57" s="191">
        <f t="shared" si="61"/>
        <v>0</v>
      </c>
      <c r="CI57" s="191">
        <f t="shared" si="61"/>
        <v>0</v>
      </c>
      <c r="CJ57" s="191">
        <f t="shared" ref="CJ57:DB57" si="62">+CI62</f>
        <v>0</v>
      </c>
      <c r="CK57" s="191">
        <f t="shared" si="62"/>
        <v>0</v>
      </c>
      <c r="CL57" s="191">
        <f t="shared" si="62"/>
        <v>0</v>
      </c>
      <c r="CM57" s="191">
        <f t="shared" si="62"/>
        <v>0</v>
      </c>
      <c r="CN57" s="191">
        <f t="shared" si="62"/>
        <v>0</v>
      </c>
      <c r="CO57" s="191">
        <f t="shared" si="62"/>
        <v>0</v>
      </c>
      <c r="CP57" s="191">
        <f t="shared" si="62"/>
        <v>0</v>
      </c>
      <c r="CQ57" s="191">
        <f t="shared" si="62"/>
        <v>0</v>
      </c>
      <c r="CR57" s="191">
        <f t="shared" si="62"/>
        <v>0</v>
      </c>
      <c r="CS57" s="191">
        <f t="shared" si="62"/>
        <v>0</v>
      </c>
      <c r="CT57" s="191">
        <f t="shared" si="62"/>
        <v>0</v>
      </c>
      <c r="CU57" s="191">
        <f t="shared" si="62"/>
        <v>0</v>
      </c>
      <c r="CV57" s="191">
        <f t="shared" si="62"/>
        <v>0</v>
      </c>
      <c r="CW57" s="191">
        <f t="shared" si="62"/>
        <v>0</v>
      </c>
      <c r="CX57" s="191">
        <f t="shared" si="62"/>
        <v>0</v>
      </c>
      <c r="CY57" s="191">
        <f t="shared" si="62"/>
        <v>0</v>
      </c>
      <c r="CZ57" s="191">
        <f t="shared" si="62"/>
        <v>0</v>
      </c>
      <c r="DA57" s="191">
        <f t="shared" si="62"/>
        <v>0</v>
      </c>
      <c r="DB57" s="191">
        <f t="shared" si="62"/>
        <v>0</v>
      </c>
      <c r="DC57" s="21" t="s">
        <v>11</v>
      </c>
    </row>
    <row r="58" spans="2:107">
      <c r="B58" s="192" t="s">
        <v>76</v>
      </c>
      <c r="C58" s="193">
        <v>125</v>
      </c>
      <c r="D58" s="194">
        <f>+$D$22</f>
        <v>128</v>
      </c>
      <c r="E58" s="195">
        <f>+C58*D58</f>
        <v>16000</v>
      </c>
      <c r="F58" s="195">
        <f t="shared" si="60"/>
        <v>142.85714285714286</v>
      </c>
      <c r="G58" s="196">
        <f t="shared" si="57"/>
        <v>1.5237035611104455E-2</v>
      </c>
      <c r="I58" s="368"/>
      <c r="J58" s="187"/>
      <c r="K58" s="177"/>
      <c r="L58" s="188"/>
      <c r="M58" s="188"/>
      <c r="N58" s="197"/>
      <c r="O58" s="188"/>
      <c r="P58" s="188"/>
      <c r="T58" s="57" t="s">
        <v>147</v>
      </c>
      <c r="U58" s="58">
        <f>+SUM(V58:DB58)</f>
        <v>0</v>
      </c>
      <c r="V58" s="59">
        <f t="shared" ref="V58:CG58" si="63">+V150*$K$10</f>
        <v>0</v>
      </c>
      <c r="W58" s="59">
        <f t="shared" si="63"/>
        <v>0</v>
      </c>
      <c r="X58" s="59">
        <f t="shared" si="63"/>
        <v>0</v>
      </c>
      <c r="Y58" s="59">
        <f t="shared" si="63"/>
        <v>0</v>
      </c>
      <c r="Z58" s="59">
        <f t="shared" si="63"/>
        <v>0</v>
      </c>
      <c r="AA58" s="59">
        <f t="shared" si="63"/>
        <v>0</v>
      </c>
      <c r="AB58" s="59">
        <f t="shared" si="63"/>
        <v>0</v>
      </c>
      <c r="AC58" s="59">
        <f t="shared" si="63"/>
        <v>0</v>
      </c>
      <c r="AD58" s="59">
        <f t="shared" si="63"/>
        <v>0</v>
      </c>
      <c r="AE58" s="59">
        <f t="shared" si="63"/>
        <v>0</v>
      </c>
      <c r="AF58" s="59">
        <f t="shared" si="63"/>
        <v>0</v>
      </c>
      <c r="AG58" s="59">
        <f t="shared" si="63"/>
        <v>0</v>
      </c>
      <c r="AH58" s="59">
        <f t="shared" si="63"/>
        <v>0</v>
      </c>
      <c r="AI58" s="59">
        <f t="shared" si="63"/>
        <v>0</v>
      </c>
      <c r="AJ58" s="59">
        <f t="shared" si="63"/>
        <v>0</v>
      </c>
      <c r="AK58" s="59">
        <f t="shared" si="63"/>
        <v>0</v>
      </c>
      <c r="AL58" s="59">
        <f t="shared" si="63"/>
        <v>0</v>
      </c>
      <c r="AM58" s="59">
        <f t="shared" si="63"/>
        <v>0</v>
      </c>
      <c r="AN58" s="59">
        <f t="shared" si="63"/>
        <v>0</v>
      </c>
      <c r="AO58" s="59">
        <f t="shared" si="63"/>
        <v>0</v>
      </c>
      <c r="AP58" s="59">
        <f t="shared" si="63"/>
        <v>0</v>
      </c>
      <c r="AQ58" s="59">
        <f t="shared" si="63"/>
        <v>0</v>
      </c>
      <c r="AR58" s="59">
        <f t="shared" si="63"/>
        <v>0</v>
      </c>
      <c r="AS58" s="59">
        <f t="shared" si="63"/>
        <v>0</v>
      </c>
      <c r="AT58" s="59">
        <f t="shared" si="63"/>
        <v>0</v>
      </c>
      <c r="AU58" s="59">
        <f t="shared" si="63"/>
        <v>0</v>
      </c>
      <c r="AV58" s="59">
        <f t="shared" si="63"/>
        <v>0</v>
      </c>
      <c r="AW58" s="59">
        <f t="shared" si="63"/>
        <v>0</v>
      </c>
      <c r="AX58" s="59">
        <f t="shared" si="63"/>
        <v>0</v>
      </c>
      <c r="AY58" s="59">
        <f t="shared" si="63"/>
        <v>0</v>
      </c>
      <c r="AZ58" s="59">
        <f t="shared" si="63"/>
        <v>0</v>
      </c>
      <c r="BA58" s="59">
        <f t="shared" si="63"/>
        <v>0</v>
      </c>
      <c r="BB58" s="59">
        <f t="shared" si="63"/>
        <v>0</v>
      </c>
      <c r="BC58" s="59">
        <f t="shared" si="63"/>
        <v>0</v>
      </c>
      <c r="BD58" s="59">
        <f t="shared" si="63"/>
        <v>0</v>
      </c>
      <c r="BE58" s="59">
        <f t="shared" si="63"/>
        <v>0</v>
      </c>
      <c r="BF58" s="59">
        <f t="shared" si="63"/>
        <v>0</v>
      </c>
      <c r="BG58" s="59">
        <f t="shared" si="63"/>
        <v>0</v>
      </c>
      <c r="BH58" s="59">
        <f t="shared" si="63"/>
        <v>0</v>
      </c>
      <c r="BI58" s="59">
        <f t="shared" si="63"/>
        <v>0</v>
      </c>
      <c r="BJ58" s="59">
        <f t="shared" si="63"/>
        <v>0</v>
      </c>
      <c r="BK58" s="59">
        <f t="shared" si="63"/>
        <v>0</v>
      </c>
      <c r="BL58" s="59">
        <f t="shared" si="63"/>
        <v>0</v>
      </c>
      <c r="BM58" s="59">
        <f t="shared" si="63"/>
        <v>0</v>
      </c>
      <c r="BN58" s="59">
        <f t="shared" si="63"/>
        <v>0</v>
      </c>
      <c r="BO58" s="59">
        <f t="shared" si="63"/>
        <v>0</v>
      </c>
      <c r="BP58" s="59">
        <f t="shared" si="63"/>
        <v>0</v>
      </c>
      <c r="BQ58" s="59">
        <f t="shared" si="63"/>
        <v>0</v>
      </c>
      <c r="BR58" s="59">
        <f t="shared" si="63"/>
        <v>0</v>
      </c>
      <c r="BS58" s="59">
        <f t="shared" si="63"/>
        <v>0</v>
      </c>
      <c r="BT58" s="59">
        <f t="shared" si="63"/>
        <v>0</v>
      </c>
      <c r="BU58" s="59">
        <f t="shared" si="63"/>
        <v>0</v>
      </c>
      <c r="BV58" s="59">
        <f t="shared" si="63"/>
        <v>0</v>
      </c>
      <c r="BW58" s="59">
        <f t="shared" si="63"/>
        <v>0</v>
      </c>
      <c r="BX58" s="59">
        <f t="shared" si="63"/>
        <v>0</v>
      </c>
      <c r="BY58" s="59">
        <f t="shared" si="63"/>
        <v>0</v>
      </c>
      <c r="BZ58" s="59">
        <f t="shared" si="63"/>
        <v>0</v>
      </c>
      <c r="CA58" s="59">
        <f t="shared" si="63"/>
        <v>0</v>
      </c>
      <c r="CB58" s="59">
        <f t="shared" si="63"/>
        <v>0</v>
      </c>
      <c r="CC58" s="59">
        <f t="shared" si="63"/>
        <v>0</v>
      </c>
      <c r="CD58" s="59">
        <f t="shared" si="63"/>
        <v>0</v>
      </c>
      <c r="CE58" s="59">
        <f t="shared" si="63"/>
        <v>0</v>
      </c>
      <c r="CF58" s="59">
        <f t="shared" si="63"/>
        <v>0</v>
      </c>
      <c r="CG58" s="59">
        <f t="shared" si="63"/>
        <v>0</v>
      </c>
      <c r="CH58" s="59">
        <f t="shared" ref="CH58:DB58" si="64">+CH150*$K$10</f>
        <v>0</v>
      </c>
      <c r="CI58" s="59">
        <f t="shared" si="64"/>
        <v>0</v>
      </c>
      <c r="CJ58" s="59">
        <f t="shared" si="64"/>
        <v>0</v>
      </c>
      <c r="CK58" s="59">
        <f t="shared" si="64"/>
        <v>0</v>
      </c>
      <c r="CL58" s="59">
        <f t="shared" si="64"/>
        <v>0</v>
      </c>
      <c r="CM58" s="59">
        <f t="shared" si="64"/>
        <v>0</v>
      </c>
      <c r="CN58" s="59">
        <f t="shared" si="64"/>
        <v>0</v>
      </c>
      <c r="CO58" s="59">
        <f t="shared" si="64"/>
        <v>0</v>
      </c>
      <c r="CP58" s="59">
        <f t="shared" si="64"/>
        <v>0</v>
      </c>
      <c r="CQ58" s="59">
        <f t="shared" si="64"/>
        <v>0</v>
      </c>
      <c r="CR58" s="59">
        <f t="shared" si="64"/>
        <v>0</v>
      </c>
      <c r="CS58" s="59">
        <f t="shared" si="64"/>
        <v>0</v>
      </c>
      <c r="CT58" s="59">
        <f t="shared" si="64"/>
        <v>0</v>
      </c>
      <c r="CU58" s="59">
        <f t="shared" si="64"/>
        <v>0</v>
      </c>
      <c r="CV58" s="59">
        <f t="shared" si="64"/>
        <v>0</v>
      </c>
      <c r="CW58" s="59">
        <f t="shared" si="64"/>
        <v>0</v>
      </c>
      <c r="CX58" s="59">
        <f t="shared" si="64"/>
        <v>0</v>
      </c>
      <c r="CY58" s="59">
        <f t="shared" si="64"/>
        <v>0</v>
      </c>
      <c r="CZ58" s="59">
        <f t="shared" si="64"/>
        <v>0</v>
      </c>
      <c r="DA58" s="59">
        <f t="shared" si="64"/>
        <v>0</v>
      </c>
      <c r="DB58" s="59">
        <f t="shared" si="64"/>
        <v>0</v>
      </c>
      <c r="DC58" s="21" t="s">
        <v>11</v>
      </c>
    </row>
    <row r="59" spans="2:107">
      <c r="B59" s="57" t="s">
        <v>148</v>
      </c>
      <c r="C59" s="80">
        <f>+E59/D22</f>
        <v>79.765781250000003</v>
      </c>
      <c r="D59" s="79">
        <v>0.06</v>
      </c>
      <c r="E59" s="166">
        <f>+D59*SUM(E55:E58)</f>
        <v>10210.02</v>
      </c>
      <c r="F59" s="166">
        <f t="shared" si="60"/>
        <v>91.160892857142855</v>
      </c>
      <c r="G59" s="135">
        <f t="shared" si="57"/>
        <v>9.7231523956305445E-3</v>
      </c>
      <c r="I59" s="368"/>
      <c r="J59" s="187"/>
      <c r="K59" s="177"/>
      <c r="L59" s="188"/>
      <c r="M59" s="188"/>
      <c r="N59" s="188"/>
      <c r="O59" s="188"/>
      <c r="P59" s="188"/>
      <c r="T59" s="57" t="s">
        <v>149</v>
      </c>
      <c r="U59" s="58">
        <f t="shared" ref="U59:U61" si="65">+SUM(V59:DB59)</f>
        <v>0</v>
      </c>
      <c r="V59" s="59">
        <f t="shared" ref="V59:CG59" si="66">+$M$10*V57</f>
        <v>0</v>
      </c>
      <c r="W59" s="59">
        <f t="shared" si="66"/>
        <v>0</v>
      </c>
      <c r="X59" s="59">
        <f t="shared" si="66"/>
        <v>0</v>
      </c>
      <c r="Y59" s="59">
        <f t="shared" si="66"/>
        <v>0</v>
      </c>
      <c r="Z59" s="59">
        <f t="shared" si="66"/>
        <v>0</v>
      </c>
      <c r="AA59" s="59">
        <f t="shared" si="66"/>
        <v>0</v>
      </c>
      <c r="AB59" s="59">
        <f t="shared" si="66"/>
        <v>0</v>
      </c>
      <c r="AC59" s="59">
        <f t="shared" si="66"/>
        <v>0</v>
      </c>
      <c r="AD59" s="59">
        <f t="shared" si="66"/>
        <v>0</v>
      </c>
      <c r="AE59" s="59">
        <f t="shared" si="66"/>
        <v>0</v>
      </c>
      <c r="AF59" s="59">
        <f t="shared" si="66"/>
        <v>0</v>
      </c>
      <c r="AG59" s="59">
        <f t="shared" si="66"/>
        <v>0</v>
      </c>
      <c r="AH59" s="59">
        <f t="shared" si="66"/>
        <v>0</v>
      </c>
      <c r="AI59" s="59">
        <f t="shared" si="66"/>
        <v>0</v>
      </c>
      <c r="AJ59" s="59">
        <f t="shared" si="66"/>
        <v>0</v>
      </c>
      <c r="AK59" s="59">
        <f t="shared" si="66"/>
        <v>0</v>
      </c>
      <c r="AL59" s="59">
        <f t="shared" si="66"/>
        <v>0</v>
      </c>
      <c r="AM59" s="59">
        <f t="shared" si="66"/>
        <v>0</v>
      </c>
      <c r="AN59" s="59">
        <f t="shared" si="66"/>
        <v>0</v>
      </c>
      <c r="AO59" s="59">
        <f t="shared" si="66"/>
        <v>0</v>
      </c>
      <c r="AP59" s="59">
        <f t="shared" si="66"/>
        <v>0</v>
      </c>
      <c r="AQ59" s="59">
        <f t="shared" si="66"/>
        <v>0</v>
      </c>
      <c r="AR59" s="59">
        <f t="shared" si="66"/>
        <v>0</v>
      </c>
      <c r="AS59" s="59">
        <f t="shared" si="66"/>
        <v>0</v>
      </c>
      <c r="AT59" s="59">
        <f t="shared" si="66"/>
        <v>0</v>
      </c>
      <c r="AU59" s="59">
        <f t="shared" si="66"/>
        <v>0</v>
      </c>
      <c r="AV59" s="59">
        <f t="shared" si="66"/>
        <v>0</v>
      </c>
      <c r="AW59" s="59">
        <f t="shared" si="66"/>
        <v>0</v>
      </c>
      <c r="AX59" s="59">
        <f t="shared" si="66"/>
        <v>0</v>
      </c>
      <c r="AY59" s="59">
        <f t="shared" si="66"/>
        <v>0</v>
      </c>
      <c r="AZ59" s="59">
        <f t="shared" si="66"/>
        <v>0</v>
      </c>
      <c r="BA59" s="59">
        <f t="shared" si="66"/>
        <v>0</v>
      </c>
      <c r="BB59" s="59">
        <f t="shared" si="66"/>
        <v>0</v>
      </c>
      <c r="BC59" s="59">
        <f t="shared" si="66"/>
        <v>0</v>
      </c>
      <c r="BD59" s="59">
        <f t="shared" si="66"/>
        <v>0</v>
      </c>
      <c r="BE59" s="59">
        <f t="shared" si="66"/>
        <v>0</v>
      </c>
      <c r="BF59" s="59">
        <f t="shared" si="66"/>
        <v>0</v>
      </c>
      <c r="BG59" s="59">
        <f t="shared" si="66"/>
        <v>0</v>
      </c>
      <c r="BH59" s="59">
        <f t="shared" si="66"/>
        <v>0</v>
      </c>
      <c r="BI59" s="59">
        <f t="shared" si="66"/>
        <v>0</v>
      </c>
      <c r="BJ59" s="59">
        <f t="shared" si="66"/>
        <v>0</v>
      </c>
      <c r="BK59" s="59">
        <f t="shared" si="66"/>
        <v>0</v>
      </c>
      <c r="BL59" s="59">
        <f t="shared" si="66"/>
        <v>0</v>
      </c>
      <c r="BM59" s="59">
        <f t="shared" si="66"/>
        <v>0</v>
      </c>
      <c r="BN59" s="59">
        <f t="shared" si="66"/>
        <v>0</v>
      </c>
      <c r="BO59" s="59">
        <f t="shared" si="66"/>
        <v>0</v>
      </c>
      <c r="BP59" s="59">
        <f t="shared" si="66"/>
        <v>0</v>
      </c>
      <c r="BQ59" s="59">
        <f t="shared" si="66"/>
        <v>0</v>
      </c>
      <c r="BR59" s="59">
        <f t="shared" si="66"/>
        <v>0</v>
      </c>
      <c r="BS59" s="59">
        <f t="shared" si="66"/>
        <v>0</v>
      </c>
      <c r="BT59" s="59">
        <f t="shared" si="66"/>
        <v>0</v>
      </c>
      <c r="BU59" s="59">
        <f t="shared" si="66"/>
        <v>0</v>
      </c>
      <c r="BV59" s="59">
        <f t="shared" si="66"/>
        <v>0</v>
      </c>
      <c r="BW59" s="59">
        <f t="shared" si="66"/>
        <v>0</v>
      </c>
      <c r="BX59" s="59">
        <f t="shared" si="66"/>
        <v>0</v>
      </c>
      <c r="BY59" s="59">
        <f t="shared" si="66"/>
        <v>0</v>
      </c>
      <c r="BZ59" s="59">
        <f t="shared" si="66"/>
        <v>0</v>
      </c>
      <c r="CA59" s="59">
        <f t="shared" si="66"/>
        <v>0</v>
      </c>
      <c r="CB59" s="59">
        <f t="shared" si="66"/>
        <v>0</v>
      </c>
      <c r="CC59" s="59">
        <f t="shared" si="66"/>
        <v>0</v>
      </c>
      <c r="CD59" s="59">
        <f t="shared" si="66"/>
        <v>0</v>
      </c>
      <c r="CE59" s="59">
        <f t="shared" si="66"/>
        <v>0</v>
      </c>
      <c r="CF59" s="59">
        <f t="shared" si="66"/>
        <v>0</v>
      </c>
      <c r="CG59" s="59">
        <f t="shared" si="66"/>
        <v>0</v>
      </c>
      <c r="CH59" s="59">
        <f t="shared" ref="CH59:DB59" si="67">+$M$10*CH57</f>
        <v>0</v>
      </c>
      <c r="CI59" s="59">
        <f t="shared" si="67"/>
        <v>0</v>
      </c>
      <c r="CJ59" s="59">
        <f t="shared" si="67"/>
        <v>0</v>
      </c>
      <c r="CK59" s="59">
        <f t="shared" si="67"/>
        <v>0</v>
      </c>
      <c r="CL59" s="59">
        <f t="shared" si="67"/>
        <v>0</v>
      </c>
      <c r="CM59" s="59">
        <f t="shared" si="67"/>
        <v>0</v>
      </c>
      <c r="CN59" s="59">
        <f t="shared" si="67"/>
        <v>0</v>
      </c>
      <c r="CO59" s="59">
        <f t="shared" si="67"/>
        <v>0</v>
      </c>
      <c r="CP59" s="59">
        <f t="shared" si="67"/>
        <v>0</v>
      </c>
      <c r="CQ59" s="59">
        <f t="shared" si="67"/>
        <v>0</v>
      </c>
      <c r="CR59" s="59">
        <f t="shared" si="67"/>
        <v>0</v>
      </c>
      <c r="CS59" s="59">
        <f t="shared" si="67"/>
        <v>0</v>
      </c>
      <c r="CT59" s="59">
        <f t="shared" si="67"/>
        <v>0</v>
      </c>
      <c r="CU59" s="59">
        <f t="shared" si="67"/>
        <v>0</v>
      </c>
      <c r="CV59" s="59">
        <f t="shared" si="67"/>
        <v>0</v>
      </c>
      <c r="CW59" s="59">
        <f t="shared" si="67"/>
        <v>0</v>
      </c>
      <c r="CX59" s="59">
        <f t="shared" si="67"/>
        <v>0</v>
      </c>
      <c r="CY59" s="59">
        <f t="shared" si="67"/>
        <v>0</v>
      </c>
      <c r="CZ59" s="59">
        <f t="shared" si="67"/>
        <v>0</v>
      </c>
      <c r="DA59" s="59">
        <f t="shared" si="67"/>
        <v>0</v>
      </c>
      <c r="DB59" s="59">
        <f t="shared" si="67"/>
        <v>0</v>
      </c>
      <c r="DC59" s="21" t="s">
        <v>11</v>
      </c>
    </row>
    <row r="60" spans="2:107">
      <c r="B60" s="198" t="s">
        <v>150</v>
      </c>
      <c r="C60" s="199">
        <f>+E60/D22</f>
        <v>1409.1954687499999</v>
      </c>
      <c r="D60" s="200">
        <f>+C60/C34</f>
        <v>0.22977964331210191</v>
      </c>
      <c r="E60" s="201">
        <f>+SUM(E55:E59)</f>
        <v>180377.02</v>
      </c>
      <c r="F60" s="201">
        <f>+(E60-E52-E59)/$E$22</f>
        <v>1473.3482142857142</v>
      </c>
      <c r="G60" s="202">
        <f t="shared" si="57"/>
        <v>0.17177569232280626</v>
      </c>
      <c r="I60" s="368"/>
      <c r="J60" s="187"/>
      <c r="K60" s="177"/>
      <c r="L60" s="188"/>
      <c r="M60" s="188"/>
      <c r="N60" s="188"/>
      <c r="O60" s="188"/>
      <c r="P60" s="188"/>
      <c r="T60" s="57" t="s">
        <v>151</v>
      </c>
      <c r="U60" s="58">
        <f t="shared" si="65"/>
        <v>0</v>
      </c>
      <c r="V60" s="59">
        <f t="shared" ref="V60:AH60" si="68">+IF($N$11=1,V153*-V59,-V59)</f>
        <v>0</v>
      </c>
      <c r="W60" s="59">
        <f t="shared" si="68"/>
        <v>0</v>
      </c>
      <c r="X60" s="59">
        <f t="shared" si="68"/>
        <v>0</v>
      </c>
      <c r="Y60" s="59">
        <f t="shared" si="68"/>
        <v>0</v>
      </c>
      <c r="Z60" s="59">
        <f t="shared" si="68"/>
        <v>0</v>
      </c>
      <c r="AA60" s="59">
        <f t="shared" si="68"/>
        <v>0</v>
      </c>
      <c r="AB60" s="59">
        <f t="shared" si="68"/>
        <v>0</v>
      </c>
      <c r="AC60" s="59">
        <f t="shared" si="68"/>
        <v>0</v>
      </c>
      <c r="AD60" s="59">
        <f t="shared" si="68"/>
        <v>0</v>
      </c>
      <c r="AE60" s="59">
        <f t="shared" si="68"/>
        <v>0</v>
      </c>
      <c r="AF60" s="59">
        <f t="shared" si="68"/>
        <v>0</v>
      </c>
      <c r="AG60" s="59">
        <f t="shared" si="68"/>
        <v>0</v>
      </c>
      <c r="AH60" s="59">
        <f t="shared" si="68"/>
        <v>0</v>
      </c>
      <c r="AI60" s="59">
        <f t="shared" ref="AI60:CT60" si="69">+-AI59</f>
        <v>0</v>
      </c>
      <c r="AJ60" s="59">
        <f t="shared" si="69"/>
        <v>0</v>
      </c>
      <c r="AK60" s="59">
        <f t="shared" si="69"/>
        <v>0</v>
      </c>
      <c r="AL60" s="59">
        <f t="shared" si="69"/>
        <v>0</v>
      </c>
      <c r="AM60" s="59">
        <f t="shared" si="69"/>
        <v>0</v>
      </c>
      <c r="AN60" s="59">
        <f t="shared" si="69"/>
        <v>0</v>
      </c>
      <c r="AO60" s="59">
        <f t="shared" si="69"/>
        <v>0</v>
      </c>
      <c r="AP60" s="59">
        <f t="shared" si="69"/>
        <v>0</v>
      </c>
      <c r="AQ60" s="59">
        <f t="shared" si="69"/>
        <v>0</v>
      </c>
      <c r="AR60" s="59">
        <f t="shared" si="69"/>
        <v>0</v>
      </c>
      <c r="AS60" s="59">
        <f t="shared" si="69"/>
        <v>0</v>
      </c>
      <c r="AT60" s="59">
        <f t="shared" si="69"/>
        <v>0</v>
      </c>
      <c r="AU60" s="59">
        <f t="shared" si="69"/>
        <v>0</v>
      </c>
      <c r="AV60" s="59">
        <f t="shared" si="69"/>
        <v>0</v>
      </c>
      <c r="AW60" s="59">
        <f t="shared" si="69"/>
        <v>0</v>
      </c>
      <c r="AX60" s="59">
        <f t="shared" si="69"/>
        <v>0</v>
      </c>
      <c r="AY60" s="59">
        <f t="shared" si="69"/>
        <v>0</v>
      </c>
      <c r="AZ60" s="59">
        <f t="shared" si="69"/>
        <v>0</v>
      </c>
      <c r="BA60" s="59">
        <f t="shared" si="69"/>
        <v>0</v>
      </c>
      <c r="BB60" s="59">
        <f t="shared" si="69"/>
        <v>0</v>
      </c>
      <c r="BC60" s="59">
        <f t="shared" si="69"/>
        <v>0</v>
      </c>
      <c r="BD60" s="59">
        <f t="shared" si="69"/>
        <v>0</v>
      </c>
      <c r="BE60" s="59">
        <f t="shared" si="69"/>
        <v>0</v>
      </c>
      <c r="BF60" s="59">
        <f t="shared" si="69"/>
        <v>0</v>
      </c>
      <c r="BG60" s="59">
        <f t="shared" si="69"/>
        <v>0</v>
      </c>
      <c r="BH60" s="59">
        <f t="shared" si="69"/>
        <v>0</v>
      </c>
      <c r="BI60" s="59">
        <f t="shared" si="69"/>
        <v>0</v>
      </c>
      <c r="BJ60" s="59">
        <f t="shared" si="69"/>
        <v>0</v>
      </c>
      <c r="BK60" s="59">
        <f t="shared" si="69"/>
        <v>0</v>
      </c>
      <c r="BL60" s="59">
        <f t="shared" si="69"/>
        <v>0</v>
      </c>
      <c r="BM60" s="59">
        <f t="shared" si="69"/>
        <v>0</v>
      </c>
      <c r="BN60" s="59">
        <f t="shared" si="69"/>
        <v>0</v>
      </c>
      <c r="BO60" s="59">
        <f t="shared" si="69"/>
        <v>0</v>
      </c>
      <c r="BP60" s="59">
        <f t="shared" si="69"/>
        <v>0</v>
      </c>
      <c r="BQ60" s="59">
        <f t="shared" si="69"/>
        <v>0</v>
      </c>
      <c r="BR60" s="59">
        <f t="shared" si="69"/>
        <v>0</v>
      </c>
      <c r="BS60" s="59">
        <f t="shared" si="69"/>
        <v>0</v>
      </c>
      <c r="BT60" s="59">
        <f t="shared" si="69"/>
        <v>0</v>
      </c>
      <c r="BU60" s="59">
        <f t="shared" si="69"/>
        <v>0</v>
      </c>
      <c r="BV60" s="59">
        <f t="shared" si="69"/>
        <v>0</v>
      </c>
      <c r="BW60" s="59">
        <f t="shared" si="69"/>
        <v>0</v>
      </c>
      <c r="BX60" s="59">
        <f t="shared" si="69"/>
        <v>0</v>
      </c>
      <c r="BY60" s="59">
        <f t="shared" si="69"/>
        <v>0</v>
      </c>
      <c r="BZ60" s="59">
        <f t="shared" si="69"/>
        <v>0</v>
      </c>
      <c r="CA60" s="59">
        <f t="shared" si="69"/>
        <v>0</v>
      </c>
      <c r="CB60" s="59">
        <f t="shared" si="69"/>
        <v>0</v>
      </c>
      <c r="CC60" s="59">
        <f t="shared" si="69"/>
        <v>0</v>
      </c>
      <c r="CD60" s="59">
        <f t="shared" si="69"/>
        <v>0</v>
      </c>
      <c r="CE60" s="59">
        <f t="shared" si="69"/>
        <v>0</v>
      </c>
      <c r="CF60" s="59">
        <f t="shared" si="69"/>
        <v>0</v>
      </c>
      <c r="CG60" s="59">
        <f t="shared" si="69"/>
        <v>0</v>
      </c>
      <c r="CH60" s="59">
        <f t="shared" si="69"/>
        <v>0</v>
      </c>
      <c r="CI60" s="59">
        <f t="shared" si="69"/>
        <v>0</v>
      </c>
      <c r="CJ60" s="59">
        <f t="shared" si="69"/>
        <v>0</v>
      </c>
      <c r="CK60" s="59">
        <f t="shared" si="69"/>
        <v>0</v>
      </c>
      <c r="CL60" s="59">
        <f t="shared" si="69"/>
        <v>0</v>
      </c>
      <c r="CM60" s="59">
        <f t="shared" si="69"/>
        <v>0</v>
      </c>
      <c r="CN60" s="59">
        <f t="shared" si="69"/>
        <v>0</v>
      </c>
      <c r="CO60" s="59">
        <f t="shared" si="69"/>
        <v>0</v>
      </c>
      <c r="CP60" s="59">
        <f t="shared" si="69"/>
        <v>0</v>
      </c>
      <c r="CQ60" s="59">
        <f t="shared" si="69"/>
        <v>0</v>
      </c>
      <c r="CR60" s="59">
        <f t="shared" si="69"/>
        <v>0</v>
      </c>
      <c r="CS60" s="59">
        <f t="shared" si="69"/>
        <v>0</v>
      </c>
      <c r="CT60" s="59">
        <f t="shared" si="69"/>
        <v>0</v>
      </c>
      <c r="CU60" s="59">
        <f t="shared" ref="CU60:DB60" si="70">+-CU59</f>
        <v>0</v>
      </c>
      <c r="CV60" s="59">
        <f t="shared" si="70"/>
        <v>0</v>
      </c>
      <c r="CW60" s="59">
        <f t="shared" si="70"/>
        <v>0</v>
      </c>
      <c r="CX60" s="59">
        <f t="shared" si="70"/>
        <v>0</v>
      </c>
      <c r="CY60" s="59">
        <f t="shared" si="70"/>
        <v>0</v>
      </c>
      <c r="CZ60" s="59">
        <f t="shared" si="70"/>
        <v>0</v>
      </c>
      <c r="DA60" s="59">
        <f t="shared" si="70"/>
        <v>0</v>
      </c>
      <c r="DB60" s="59">
        <f t="shared" si="70"/>
        <v>0</v>
      </c>
      <c r="DC60" s="21" t="s">
        <v>11</v>
      </c>
    </row>
    <row r="61" spans="2:107" ht="14.85" customHeight="1">
      <c r="B61" s="203" t="s">
        <v>152</v>
      </c>
      <c r="C61" s="204">
        <f>+E61/D22</f>
        <v>8167.7579687500001</v>
      </c>
      <c r="D61" s="205">
        <f>+C61/C34-1</f>
        <v>0.33181276433121032</v>
      </c>
      <c r="E61" s="206">
        <f>+E60+E41+E47</f>
        <v>1045473.02</v>
      </c>
      <c r="F61" s="206">
        <f t="shared" si="60"/>
        <v>9334.5805357142854</v>
      </c>
      <c r="G61" s="203"/>
      <c r="I61" s="168"/>
      <c r="J61" s="168"/>
      <c r="K61" s="168"/>
      <c r="L61" s="168"/>
      <c r="M61" s="168"/>
      <c r="N61" s="168"/>
      <c r="O61" s="168"/>
      <c r="P61" s="168"/>
      <c r="T61" s="72" t="s">
        <v>153</v>
      </c>
      <c r="U61" s="190">
        <f t="shared" si="65"/>
        <v>0</v>
      </c>
      <c r="V61" s="191">
        <f t="shared" ref="V61:CG61" si="71">+-V151*SUM(V57:V60)+(-$K$14-V60)*V152*(1-$N$11)</f>
        <v>0</v>
      </c>
      <c r="W61" s="191">
        <f t="shared" si="71"/>
        <v>0</v>
      </c>
      <c r="X61" s="191">
        <f t="shared" si="71"/>
        <v>0</v>
      </c>
      <c r="Y61" s="191">
        <f t="shared" si="71"/>
        <v>0</v>
      </c>
      <c r="Z61" s="191">
        <f t="shared" si="71"/>
        <v>0</v>
      </c>
      <c r="AA61" s="191">
        <f t="shared" si="71"/>
        <v>0</v>
      </c>
      <c r="AB61" s="191">
        <f t="shared" si="71"/>
        <v>0</v>
      </c>
      <c r="AC61" s="191">
        <f t="shared" si="71"/>
        <v>0</v>
      </c>
      <c r="AD61" s="191">
        <f t="shared" si="71"/>
        <v>0</v>
      </c>
      <c r="AE61" s="191">
        <f t="shared" si="71"/>
        <v>0</v>
      </c>
      <c r="AF61" s="191">
        <f t="shared" si="71"/>
        <v>0</v>
      </c>
      <c r="AG61" s="191">
        <f t="shared" si="71"/>
        <v>0</v>
      </c>
      <c r="AH61" s="191">
        <f t="shared" si="71"/>
        <v>0</v>
      </c>
      <c r="AI61" s="191">
        <f t="shared" si="71"/>
        <v>0</v>
      </c>
      <c r="AJ61" s="191">
        <f t="shared" si="71"/>
        <v>0</v>
      </c>
      <c r="AK61" s="191">
        <f t="shared" si="71"/>
        <v>0</v>
      </c>
      <c r="AL61" s="191">
        <f t="shared" si="71"/>
        <v>0</v>
      </c>
      <c r="AM61" s="191">
        <f t="shared" si="71"/>
        <v>0</v>
      </c>
      <c r="AN61" s="191">
        <f t="shared" si="71"/>
        <v>0</v>
      </c>
      <c r="AO61" s="191">
        <f t="shared" si="71"/>
        <v>0</v>
      </c>
      <c r="AP61" s="191">
        <f t="shared" si="71"/>
        <v>0</v>
      </c>
      <c r="AQ61" s="191">
        <f t="shared" si="71"/>
        <v>0</v>
      </c>
      <c r="AR61" s="191">
        <f t="shared" si="71"/>
        <v>0</v>
      </c>
      <c r="AS61" s="191">
        <f t="shared" si="71"/>
        <v>0</v>
      </c>
      <c r="AT61" s="191">
        <f t="shared" si="71"/>
        <v>0</v>
      </c>
      <c r="AU61" s="191">
        <f t="shared" si="71"/>
        <v>0</v>
      </c>
      <c r="AV61" s="191">
        <f t="shared" si="71"/>
        <v>0</v>
      </c>
      <c r="AW61" s="191">
        <f t="shared" si="71"/>
        <v>0</v>
      </c>
      <c r="AX61" s="191">
        <f t="shared" si="71"/>
        <v>0</v>
      </c>
      <c r="AY61" s="191">
        <f t="shared" si="71"/>
        <v>0</v>
      </c>
      <c r="AZ61" s="191">
        <f t="shared" si="71"/>
        <v>0</v>
      </c>
      <c r="BA61" s="191">
        <f t="shared" si="71"/>
        <v>0</v>
      </c>
      <c r="BB61" s="191">
        <f t="shared" si="71"/>
        <v>0</v>
      </c>
      <c r="BC61" s="191">
        <f t="shared" si="71"/>
        <v>0</v>
      </c>
      <c r="BD61" s="191">
        <f t="shared" si="71"/>
        <v>0</v>
      </c>
      <c r="BE61" s="191">
        <f t="shared" si="71"/>
        <v>0</v>
      </c>
      <c r="BF61" s="191">
        <f t="shared" si="71"/>
        <v>0</v>
      </c>
      <c r="BG61" s="191">
        <f t="shared" si="71"/>
        <v>0</v>
      </c>
      <c r="BH61" s="191">
        <f t="shared" si="71"/>
        <v>0</v>
      </c>
      <c r="BI61" s="191">
        <f t="shared" si="71"/>
        <v>0</v>
      </c>
      <c r="BJ61" s="191">
        <f t="shared" si="71"/>
        <v>0</v>
      </c>
      <c r="BK61" s="191">
        <f t="shared" si="71"/>
        <v>0</v>
      </c>
      <c r="BL61" s="191">
        <f t="shared" si="71"/>
        <v>0</v>
      </c>
      <c r="BM61" s="191">
        <f t="shared" si="71"/>
        <v>0</v>
      </c>
      <c r="BN61" s="191">
        <f t="shared" si="71"/>
        <v>0</v>
      </c>
      <c r="BO61" s="191">
        <f t="shared" si="71"/>
        <v>0</v>
      </c>
      <c r="BP61" s="191">
        <f t="shared" si="71"/>
        <v>0</v>
      </c>
      <c r="BQ61" s="191">
        <f t="shared" si="71"/>
        <v>0</v>
      </c>
      <c r="BR61" s="191">
        <f t="shared" si="71"/>
        <v>0</v>
      </c>
      <c r="BS61" s="191">
        <f t="shared" si="71"/>
        <v>0</v>
      </c>
      <c r="BT61" s="191">
        <f t="shared" si="71"/>
        <v>0</v>
      </c>
      <c r="BU61" s="191">
        <f t="shared" si="71"/>
        <v>0</v>
      </c>
      <c r="BV61" s="191">
        <f t="shared" si="71"/>
        <v>0</v>
      </c>
      <c r="BW61" s="191">
        <f t="shared" si="71"/>
        <v>0</v>
      </c>
      <c r="BX61" s="191">
        <f t="shared" si="71"/>
        <v>0</v>
      </c>
      <c r="BY61" s="191">
        <f t="shared" si="71"/>
        <v>0</v>
      </c>
      <c r="BZ61" s="191">
        <f t="shared" si="71"/>
        <v>0</v>
      </c>
      <c r="CA61" s="191">
        <f t="shared" si="71"/>
        <v>0</v>
      </c>
      <c r="CB61" s="191">
        <f t="shared" si="71"/>
        <v>0</v>
      </c>
      <c r="CC61" s="191">
        <f t="shared" si="71"/>
        <v>0</v>
      </c>
      <c r="CD61" s="191">
        <f t="shared" si="71"/>
        <v>0</v>
      </c>
      <c r="CE61" s="191">
        <f t="shared" si="71"/>
        <v>0</v>
      </c>
      <c r="CF61" s="191">
        <f t="shared" si="71"/>
        <v>0</v>
      </c>
      <c r="CG61" s="191">
        <f t="shared" si="71"/>
        <v>0</v>
      </c>
      <c r="CH61" s="191">
        <f t="shared" ref="CH61:DB61" si="72">+-CH151*SUM(CH57:CH60)+(-$K$14-CH60)*CH152*(1-$N$11)</f>
        <v>0</v>
      </c>
      <c r="CI61" s="191">
        <f t="shared" si="72"/>
        <v>0</v>
      </c>
      <c r="CJ61" s="191">
        <f t="shared" si="72"/>
        <v>0</v>
      </c>
      <c r="CK61" s="191">
        <f t="shared" si="72"/>
        <v>0</v>
      </c>
      <c r="CL61" s="191">
        <f t="shared" si="72"/>
        <v>0</v>
      </c>
      <c r="CM61" s="191">
        <f t="shared" si="72"/>
        <v>0</v>
      </c>
      <c r="CN61" s="191">
        <f t="shared" si="72"/>
        <v>0</v>
      </c>
      <c r="CO61" s="191">
        <f t="shared" si="72"/>
        <v>0</v>
      </c>
      <c r="CP61" s="191">
        <f t="shared" si="72"/>
        <v>0</v>
      </c>
      <c r="CQ61" s="191">
        <f t="shared" si="72"/>
        <v>0</v>
      </c>
      <c r="CR61" s="191">
        <f t="shared" si="72"/>
        <v>0</v>
      </c>
      <c r="CS61" s="191">
        <f t="shared" si="72"/>
        <v>0</v>
      </c>
      <c r="CT61" s="191">
        <f t="shared" si="72"/>
        <v>0</v>
      </c>
      <c r="CU61" s="191">
        <f t="shared" si="72"/>
        <v>0</v>
      </c>
      <c r="CV61" s="191">
        <f t="shared" si="72"/>
        <v>0</v>
      </c>
      <c r="CW61" s="191">
        <f t="shared" si="72"/>
        <v>0</v>
      </c>
      <c r="CX61" s="191">
        <f t="shared" si="72"/>
        <v>0</v>
      </c>
      <c r="CY61" s="191">
        <f t="shared" si="72"/>
        <v>0</v>
      </c>
      <c r="CZ61" s="191">
        <f t="shared" si="72"/>
        <v>0</v>
      </c>
      <c r="DA61" s="191">
        <f t="shared" si="72"/>
        <v>0</v>
      </c>
      <c r="DB61" s="191">
        <f t="shared" si="72"/>
        <v>0</v>
      </c>
      <c r="DC61" s="21" t="s">
        <v>11</v>
      </c>
    </row>
    <row r="62" spans="2:107">
      <c r="B62" s="9" t="s">
        <v>154</v>
      </c>
      <c r="C62" s="99"/>
      <c r="D62" s="68"/>
      <c r="E62" s="103">
        <v>3000</v>
      </c>
      <c r="F62" s="68"/>
      <c r="G62" s="68"/>
      <c r="I62" s="168"/>
      <c r="J62" s="168"/>
      <c r="K62" s="168"/>
      <c r="L62" s="168"/>
      <c r="M62" s="168"/>
      <c r="N62" s="168"/>
      <c r="O62" s="168"/>
      <c r="P62" s="168"/>
      <c r="T62" s="9" t="s">
        <v>155</v>
      </c>
      <c r="U62" s="58"/>
      <c r="V62" s="59">
        <f>+SUM(V57:V61)</f>
        <v>0</v>
      </c>
      <c r="W62" s="59">
        <f t="shared" ref="W62:CH62" si="73">+SUM(W57:W61)</f>
        <v>0</v>
      </c>
      <c r="X62" s="59">
        <f t="shared" si="73"/>
        <v>0</v>
      </c>
      <c r="Y62" s="59">
        <f t="shared" si="73"/>
        <v>0</v>
      </c>
      <c r="Z62" s="59">
        <f t="shared" si="73"/>
        <v>0</v>
      </c>
      <c r="AA62" s="59">
        <f t="shared" si="73"/>
        <v>0</v>
      </c>
      <c r="AB62" s="59">
        <f t="shared" si="73"/>
        <v>0</v>
      </c>
      <c r="AC62" s="59">
        <f t="shared" si="73"/>
        <v>0</v>
      </c>
      <c r="AD62" s="59">
        <f t="shared" si="73"/>
        <v>0</v>
      </c>
      <c r="AE62" s="59">
        <f t="shared" si="73"/>
        <v>0</v>
      </c>
      <c r="AF62" s="59">
        <f t="shared" si="73"/>
        <v>0</v>
      </c>
      <c r="AG62" s="59">
        <f t="shared" si="73"/>
        <v>0</v>
      </c>
      <c r="AH62" s="59">
        <f t="shared" si="73"/>
        <v>0</v>
      </c>
      <c r="AI62" s="59">
        <f t="shared" si="73"/>
        <v>0</v>
      </c>
      <c r="AJ62" s="59">
        <f t="shared" si="73"/>
        <v>0</v>
      </c>
      <c r="AK62" s="59">
        <f t="shared" si="73"/>
        <v>0</v>
      </c>
      <c r="AL62" s="59">
        <f t="shared" si="73"/>
        <v>0</v>
      </c>
      <c r="AM62" s="59">
        <f t="shared" si="73"/>
        <v>0</v>
      </c>
      <c r="AN62" s="59">
        <f t="shared" si="73"/>
        <v>0</v>
      </c>
      <c r="AO62" s="59">
        <f t="shared" si="73"/>
        <v>0</v>
      </c>
      <c r="AP62" s="59">
        <f t="shared" si="73"/>
        <v>0</v>
      </c>
      <c r="AQ62" s="59">
        <f t="shared" si="73"/>
        <v>0</v>
      </c>
      <c r="AR62" s="59">
        <f t="shared" si="73"/>
        <v>0</v>
      </c>
      <c r="AS62" s="59">
        <f t="shared" si="73"/>
        <v>0</v>
      </c>
      <c r="AT62" s="59">
        <f t="shared" si="73"/>
        <v>0</v>
      </c>
      <c r="AU62" s="59">
        <f t="shared" si="73"/>
        <v>0</v>
      </c>
      <c r="AV62" s="59">
        <f t="shared" si="73"/>
        <v>0</v>
      </c>
      <c r="AW62" s="59">
        <f t="shared" si="73"/>
        <v>0</v>
      </c>
      <c r="AX62" s="59">
        <f t="shared" si="73"/>
        <v>0</v>
      </c>
      <c r="AY62" s="59">
        <f t="shared" si="73"/>
        <v>0</v>
      </c>
      <c r="AZ62" s="59">
        <f t="shared" si="73"/>
        <v>0</v>
      </c>
      <c r="BA62" s="59">
        <f t="shared" si="73"/>
        <v>0</v>
      </c>
      <c r="BB62" s="59">
        <f t="shared" si="73"/>
        <v>0</v>
      </c>
      <c r="BC62" s="59">
        <f t="shared" si="73"/>
        <v>0</v>
      </c>
      <c r="BD62" s="59">
        <f t="shared" si="73"/>
        <v>0</v>
      </c>
      <c r="BE62" s="59">
        <f t="shared" si="73"/>
        <v>0</v>
      </c>
      <c r="BF62" s="59">
        <f t="shared" si="73"/>
        <v>0</v>
      </c>
      <c r="BG62" s="59">
        <f t="shared" si="73"/>
        <v>0</v>
      </c>
      <c r="BH62" s="59">
        <f t="shared" si="73"/>
        <v>0</v>
      </c>
      <c r="BI62" s="59">
        <f t="shared" si="73"/>
        <v>0</v>
      </c>
      <c r="BJ62" s="59">
        <f t="shared" si="73"/>
        <v>0</v>
      </c>
      <c r="BK62" s="59">
        <f t="shared" si="73"/>
        <v>0</v>
      </c>
      <c r="BL62" s="59">
        <f t="shared" si="73"/>
        <v>0</v>
      </c>
      <c r="BM62" s="59">
        <f t="shared" si="73"/>
        <v>0</v>
      </c>
      <c r="BN62" s="59">
        <f t="shared" si="73"/>
        <v>0</v>
      </c>
      <c r="BO62" s="59">
        <f t="shared" si="73"/>
        <v>0</v>
      </c>
      <c r="BP62" s="59">
        <f t="shared" si="73"/>
        <v>0</v>
      </c>
      <c r="BQ62" s="59">
        <f t="shared" si="73"/>
        <v>0</v>
      </c>
      <c r="BR62" s="59">
        <f t="shared" si="73"/>
        <v>0</v>
      </c>
      <c r="BS62" s="59">
        <f t="shared" si="73"/>
        <v>0</v>
      </c>
      <c r="BT62" s="59">
        <f t="shared" si="73"/>
        <v>0</v>
      </c>
      <c r="BU62" s="59">
        <f t="shared" si="73"/>
        <v>0</v>
      </c>
      <c r="BV62" s="59">
        <f t="shared" si="73"/>
        <v>0</v>
      </c>
      <c r="BW62" s="59">
        <f t="shared" si="73"/>
        <v>0</v>
      </c>
      <c r="BX62" s="59">
        <f t="shared" si="73"/>
        <v>0</v>
      </c>
      <c r="BY62" s="59">
        <f t="shared" si="73"/>
        <v>0</v>
      </c>
      <c r="BZ62" s="59">
        <f t="shared" si="73"/>
        <v>0</v>
      </c>
      <c r="CA62" s="59">
        <f t="shared" si="73"/>
        <v>0</v>
      </c>
      <c r="CB62" s="59">
        <f t="shared" si="73"/>
        <v>0</v>
      </c>
      <c r="CC62" s="59">
        <f t="shared" si="73"/>
        <v>0</v>
      </c>
      <c r="CD62" s="59">
        <f t="shared" si="73"/>
        <v>0</v>
      </c>
      <c r="CE62" s="59">
        <f t="shared" si="73"/>
        <v>0</v>
      </c>
      <c r="CF62" s="59">
        <f t="shared" si="73"/>
        <v>0</v>
      </c>
      <c r="CG62" s="59">
        <f t="shared" si="73"/>
        <v>0</v>
      </c>
      <c r="CH62" s="59">
        <f t="shared" si="73"/>
        <v>0</v>
      </c>
      <c r="CI62" s="59">
        <f t="shared" ref="CI62:DB62" si="74">+SUM(CI57:CI61)</f>
        <v>0</v>
      </c>
      <c r="CJ62" s="59">
        <f t="shared" si="74"/>
        <v>0</v>
      </c>
      <c r="CK62" s="59">
        <f t="shared" si="74"/>
        <v>0</v>
      </c>
      <c r="CL62" s="59">
        <f t="shared" si="74"/>
        <v>0</v>
      </c>
      <c r="CM62" s="59">
        <f t="shared" si="74"/>
        <v>0</v>
      </c>
      <c r="CN62" s="59">
        <f t="shared" si="74"/>
        <v>0</v>
      </c>
      <c r="CO62" s="59">
        <f t="shared" si="74"/>
        <v>0</v>
      </c>
      <c r="CP62" s="59">
        <f t="shared" si="74"/>
        <v>0</v>
      </c>
      <c r="CQ62" s="59">
        <f t="shared" si="74"/>
        <v>0</v>
      </c>
      <c r="CR62" s="59">
        <f t="shared" si="74"/>
        <v>0</v>
      </c>
      <c r="CS62" s="59">
        <f t="shared" si="74"/>
        <v>0</v>
      </c>
      <c r="CT62" s="59">
        <f t="shared" si="74"/>
        <v>0</v>
      </c>
      <c r="CU62" s="59">
        <f t="shared" si="74"/>
        <v>0</v>
      </c>
      <c r="CV62" s="59">
        <f t="shared" si="74"/>
        <v>0</v>
      </c>
      <c r="CW62" s="59">
        <f t="shared" si="74"/>
        <v>0</v>
      </c>
      <c r="CX62" s="59">
        <f t="shared" si="74"/>
        <v>0</v>
      </c>
      <c r="CY62" s="59">
        <f t="shared" si="74"/>
        <v>0</v>
      </c>
      <c r="CZ62" s="59">
        <f t="shared" si="74"/>
        <v>0</v>
      </c>
      <c r="DA62" s="59">
        <f t="shared" si="74"/>
        <v>0</v>
      </c>
      <c r="DB62" s="59">
        <f t="shared" si="74"/>
        <v>0</v>
      </c>
      <c r="DC62" s="21" t="s">
        <v>11</v>
      </c>
    </row>
    <row r="63" spans="2:107">
      <c r="B63" s="9" t="s">
        <v>156</v>
      </c>
      <c r="C63" s="80"/>
      <c r="E63" s="25">
        <f>+P37</f>
        <v>1600</v>
      </c>
      <c r="G63" s="135">
        <f t="shared" ref="G63:G64" si="75">+E63/$E$69</f>
        <v>1.5237035611104454E-3</v>
      </c>
      <c r="I63" s="168"/>
      <c r="J63" s="207"/>
      <c r="K63" s="168"/>
      <c r="L63" s="167"/>
      <c r="M63" s="167"/>
      <c r="N63" s="167"/>
      <c r="O63" s="167"/>
      <c r="P63" s="167"/>
      <c r="U63" s="58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9"/>
      <c r="AR63" s="59"/>
      <c r="AS63" s="59"/>
      <c r="AT63" s="59"/>
      <c r="AU63" s="59"/>
      <c r="AV63" s="59"/>
      <c r="AW63" s="59"/>
      <c r="AX63" s="59"/>
      <c r="AY63" s="59"/>
      <c r="AZ63" s="59"/>
      <c r="BA63" s="59"/>
      <c r="BB63" s="59"/>
      <c r="BC63" s="59"/>
      <c r="BD63" s="59"/>
      <c r="BE63" s="59"/>
      <c r="BF63" s="59"/>
      <c r="BG63" s="59"/>
      <c r="BH63" s="59"/>
      <c r="BI63" s="59"/>
      <c r="BJ63" s="59"/>
      <c r="BK63" s="59"/>
      <c r="BL63" s="59"/>
      <c r="BM63" s="59"/>
      <c r="BN63" s="59"/>
      <c r="BO63" s="59"/>
      <c r="BP63" s="59"/>
      <c r="BQ63" s="59"/>
      <c r="BR63" s="59"/>
      <c r="BS63" s="59"/>
      <c r="BT63" s="59"/>
      <c r="BU63" s="59"/>
      <c r="BV63" s="59"/>
      <c r="BW63" s="59"/>
      <c r="BX63" s="59"/>
      <c r="BY63" s="59"/>
      <c r="BZ63" s="59"/>
      <c r="CA63" s="59"/>
      <c r="CB63" s="59"/>
      <c r="CC63" s="59"/>
      <c r="CD63" s="59"/>
      <c r="CE63" s="59"/>
      <c r="CF63" s="59"/>
      <c r="CG63" s="59"/>
      <c r="CH63" s="59"/>
      <c r="CI63" s="59"/>
      <c r="CJ63" s="59"/>
      <c r="CK63" s="59"/>
      <c r="CL63" s="59"/>
      <c r="CM63" s="59"/>
      <c r="CN63" s="59"/>
      <c r="CO63" s="59"/>
      <c r="CP63" s="59"/>
      <c r="CQ63" s="59"/>
      <c r="CR63" s="59"/>
      <c r="CS63" s="59"/>
      <c r="CT63" s="59"/>
      <c r="CU63" s="59"/>
      <c r="CV63" s="59"/>
      <c r="CW63" s="59"/>
      <c r="CX63" s="59"/>
      <c r="CY63" s="59"/>
      <c r="CZ63" s="59"/>
      <c r="DA63" s="59"/>
      <c r="DB63" s="59"/>
      <c r="DC63" s="21" t="s">
        <v>11</v>
      </c>
    </row>
    <row r="64" spans="2:107">
      <c r="B64" s="9" t="s">
        <v>157</v>
      </c>
      <c r="C64" s="80"/>
      <c r="E64" s="25">
        <f>+P38</f>
        <v>0</v>
      </c>
      <c r="G64" s="135">
        <f t="shared" si="75"/>
        <v>0</v>
      </c>
      <c r="J64" s="208"/>
      <c r="K64" s="183"/>
      <c r="L64" s="34"/>
      <c r="M64" s="34"/>
      <c r="N64" s="209"/>
      <c r="O64" s="34"/>
      <c r="P64" s="34"/>
      <c r="T64" s="31" t="s">
        <v>158</v>
      </c>
      <c r="U64" s="63">
        <f>+SUM(V64:DB64)</f>
        <v>0</v>
      </c>
      <c r="V64" s="210">
        <f t="shared" ref="V64:CG64" si="76">+-V58*$J$17</f>
        <v>0</v>
      </c>
      <c r="W64" s="64">
        <f t="shared" si="76"/>
        <v>0</v>
      </c>
      <c r="X64" s="64">
        <f t="shared" si="76"/>
        <v>0</v>
      </c>
      <c r="Y64" s="64">
        <f t="shared" si="76"/>
        <v>0</v>
      </c>
      <c r="Z64" s="64">
        <f t="shared" si="76"/>
        <v>0</v>
      </c>
      <c r="AA64" s="64">
        <f t="shared" si="76"/>
        <v>0</v>
      </c>
      <c r="AB64" s="64">
        <f t="shared" si="76"/>
        <v>0</v>
      </c>
      <c r="AC64" s="64">
        <f t="shared" si="76"/>
        <v>0</v>
      </c>
      <c r="AD64" s="64">
        <f t="shared" si="76"/>
        <v>0</v>
      </c>
      <c r="AE64" s="64">
        <f t="shared" si="76"/>
        <v>0</v>
      </c>
      <c r="AF64" s="64">
        <f t="shared" si="76"/>
        <v>0</v>
      </c>
      <c r="AG64" s="64">
        <f t="shared" si="76"/>
        <v>0</v>
      </c>
      <c r="AH64" s="64">
        <f t="shared" si="76"/>
        <v>0</v>
      </c>
      <c r="AI64" s="64">
        <f t="shared" si="76"/>
        <v>0</v>
      </c>
      <c r="AJ64" s="64">
        <f t="shared" si="76"/>
        <v>0</v>
      </c>
      <c r="AK64" s="64">
        <f t="shared" si="76"/>
        <v>0</v>
      </c>
      <c r="AL64" s="64">
        <f t="shared" si="76"/>
        <v>0</v>
      </c>
      <c r="AM64" s="64">
        <f t="shared" si="76"/>
        <v>0</v>
      </c>
      <c r="AN64" s="64">
        <f t="shared" si="76"/>
        <v>0</v>
      </c>
      <c r="AO64" s="64">
        <f t="shared" si="76"/>
        <v>0</v>
      </c>
      <c r="AP64" s="64">
        <f t="shared" si="76"/>
        <v>0</v>
      </c>
      <c r="AQ64" s="64">
        <f t="shared" si="76"/>
        <v>0</v>
      </c>
      <c r="AR64" s="64">
        <f t="shared" si="76"/>
        <v>0</v>
      </c>
      <c r="AS64" s="64">
        <f t="shared" si="76"/>
        <v>0</v>
      </c>
      <c r="AT64" s="64">
        <f t="shared" si="76"/>
        <v>0</v>
      </c>
      <c r="AU64" s="64">
        <f t="shared" si="76"/>
        <v>0</v>
      </c>
      <c r="AV64" s="64">
        <f t="shared" si="76"/>
        <v>0</v>
      </c>
      <c r="AW64" s="64">
        <f t="shared" si="76"/>
        <v>0</v>
      </c>
      <c r="AX64" s="64">
        <f t="shared" si="76"/>
        <v>0</v>
      </c>
      <c r="AY64" s="64">
        <f t="shared" si="76"/>
        <v>0</v>
      </c>
      <c r="AZ64" s="64">
        <f t="shared" si="76"/>
        <v>0</v>
      </c>
      <c r="BA64" s="64">
        <f t="shared" si="76"/>
        <v>0</v>
      </c>
      <c r="BB64" s="64">
        <f t="shared" si="76"/>
        <v>0</v>
      </c>
      <c r="BC64" s="64">
        <f t="shared" si="76"/>
        <v>0</v>
      </c>
      <c r="BD64" s="64">
        <f t="shared" si="76"/>
        <v>0</v>
      </c>
      <c r="BE64" s="64">
        <f t="shared" si="76"/>
        <v>0</v>
      </c>
      <c r="BF64" s="64">
        <f t="shared" si="76"/>
        <v>0</v>
      </c>
      <c r="BG64" s="64">
        <f t="shared" si="76"/>
        <v>0</v>
      </c>
      <c r="BH64" s="64">
        <f t="shared" si="76"/>
        <v>0</v>
      </c>
      <c r="BI64" s="64">
        <f t="shared" si="76"/>
        <v>0</v>
      </c>
      <c r="BJ64" s="64">
        <f t="shared" si="76"/>
        <v>0</v>
      </c>
      <c r="BK64" s="64">
        <f t="shared" si="76"/>
        <v>0</v>
      </c>
      <c r="BL64" s="64">
        <f t="shared" si="76"/>
        <v>0</v>
      </c>
      <c r="BM64" s="64">
        <f t="shared" si="76"/>
        <v>0</v>
      </c>
      <c r="BN64" s="64">
        <f t="shared" si="76"/>
        <v>0</v>
      </c>
      <c r="BO64" s="64">
        <f t="shared" si="76"/>
        <v>0</v>
      </c>
      <c r="BP64" s="64">
        <f t="shared" si="76"/>
        <v>0</v>
      </c>
      <c r="BQ64" s="64">
        <f t="shared" si="76"/>
        <v>0</v>
      </c>
      <c r="BR64" s="64">
        <f t="shared" si="76"/>
        <v>0</v>
      </c>
      <c r="BS64" s="64">
        <f t="shared" si="76"/>
        <v>0</v>
      </c>
      <c r="BT64" s="64">
        <f t="shared" si="76"/>
        <v>0</v>
      </c>
      <c r="BU64" s="64">
        <f t="shared" si="76"/>
        <v>0</v>
      </c>
      <c r="BV64" s="64">
        <f t="shared" si="76"/>
        <v>0</v>
      </c>
      <c r="BW64" s="64">
        <f t="shared" si="76"/>
        <v>0</v>
      </c>
      <c r="BX64" s="64">
        <f t="shared" si="76"/>
        <v>0</v>
      </c>
      <c r="BY64" s="64">
        <f t="shared" si="76"/>
        <v>0</v>
      </c>
      <c r="BZ64" s="64">
        <f t="shared" si="76"/>
        <v>0</v>
      </c>
      <c r="CA64" s="64">
        <f t="shared" si="76"/>
        <v>0</v>
      </c>
      <c r="CB64" s="64">
        <f t="shared" si="76"/>
        <v>0</v>
      </c>
      <c r="CC64" s="64">
        <f t="shared" si="76"/>
        <v>0</v>
      </c>
      <c r="CD64" s="64">
        <f t="shared" si="76"/>
        <v>0</v>
      </c>
      <c r="CE64" s="64">
        <f t="shared" si="76"/>
        <v>0</v>
      </c>
      <c r="CF64" s="64">
        <f t="shared" si="76"/>
        <v>0</v>
      </c>
      <c r="CG64" s="64">
        <f t="shared" si="76"/>
        <v>0</v>
      </c>
      <c r="CH64" s="64">
        <f t="shared" ref="CH64:DB64" si="77">+-CH58*$J$17</f>
        <v>0</v>
      </c>
      <c r="CI64" s="64">
        <f t="shared" si="77"/>
        <v>0</v>
      </c>
      <c r="CJ64" s="64">
        <f t="shared" si="77"/>
        <v>0</v>
      </c>
      <c r="CK64" s="64">
        <f t="shared" si="77"/>
        <v>0</v>
      </c>
      <c r="CL64" s="64">
        <f t="shared" si="77"/>
        <v>0</v>
      </c>
      <c r="CM64" s="64">
        <f t="shared" si="77"/>
        <v>0</v>
      </c>
      <c r="CN64" s="64">
        <f t="shared" si="77"/>
        <v>0</v>
      </c>
      <c r="CO64" s="64">
        <f t="shared" si="77"/>
        <v>0</v>
      </c>
      <c r="CP64" s="64">
        <f t="shared" si="77"/>
        <v>0</v>
      </c>
      <c r="CQ64" s="64">
        <f t="shared" si="77"/>
        <v>0</v>
      </c>
      <c r="CR64" s="64">
        <f t="shared" si="77"/>
        <v>0</v>
      </c>
      <c r="CS64" s="64">
        <f t="shared" si="77"/>
        <v>0</v>
      </c>
      <c r="CT64" s="64">
        <f t="shared" si="77"/>
        <v>0</v>
      </c>
      <c r="CU64" s="64">
        <f t="shared" si="77"/>
        <v>0</v>
      </c>
      <c r="CV64" s="64">
        <f t="shared" si="77"/>
        <v>0</v>
      </c>
      <c r="CW64" s="64">
        <f t="shared" si="77"/>
        <v>0</v>
      </c>
      <c r="CX64" s="64">
        <f t="shared" si="77"/>
        <v>0</v>
      </c>
      <c r="CY64" s="64">
        <f t="shared" si="77"/>
        <v>0</v>
      </c>
      <c r="CZ64" s="64">
        <f t="shared" si="77"/>
        <v>0</v>
      </c>
      <c r="DA64" s="64">
        <f t="shared" si="77"/>
        <v>0</v>
      </c>
      <c r="DB64" s="64">
        <f t="shared" si="77"/>
        <v>0</v>
      </c>
      <c r="DC64" s="21" t="s">
        <v>11</v>
      </c>
    </row>
    <row r="65" spans="2:107">
      <c r="B65" s="86" t="s">
        <v>159</v>
      </c>
      <c r="C65" s="84"/>
      <c r="D65" s="86"/>
      <c r="E65" s="87">
        <f>+SUM(E62:E64)</f>
        <v>4600</v>
      </c>
      <c r="F65" s="86"/>
      <c r="G65" s="149">
        <f>+G64+G63</f>
        <v>1.5237035611104454E-3</v>
      </c>
      <c r="J65" s="369"/>
      <c r="K65" s="211"/>
      <c r="L65" s="212"/>
      <c r="M65" s="212"/>
      <c r="N65" s="213"/>
      <c r="O65" s="212"/>
      <c r="P65" s="212"/>
      <c r="DC65" s="21" t="s">
        <v>11</v>
      </c>
    </row>
    <row r="66" spans="2:107" ht="15.75" thickBot="1">
      <c r="C66" s="80"/>
      <c r="J66" s="369"/>
      <c r="K66" s="214"/>
      <c r="L66" s="212"/>
      <c r="M66" s="212"/>
      <c r="N66" s="213"/>
      <c r="O66" s="212"/>
      <c r="P66" s="212"/>
      <c r="DC66" s="21" t="s">
        <v>11</v>
      </c>
    </row>
    <row r="67" spans="2:107">
      <c r="B67" s="86" t="s">
        <v>160</v>
      </c>
      <c r="C67" s="84"/>
      <c r="D67" s="86"/>
      <c r="E67" s="87">
        <f>+U59</f>
        <v>0</v>
      </c>
      <c r="F67" s="86"/>
      <c r="G67" s="215">
        <f>+E67/$E$69</f>
        <v>0</v>
      </c>
      <c r="J67" s="208"/>
      <c r="K67" s="214"/>
      <c r="L67" s="216"/>
      <c r="M67" s="216"/>
      <c r="N67" s="217"/>
      <c r="O67" s="216"/>
      <c r="P67" s="216"/>
      <c r="T67" s="218" t="s">
        <v>161</v>
      </c>
      <c r="U67" s="219">
        <f>+SUM(V67:DB67)</f>
        <v>99378.973333333386</v>
      </c>
      <c r="V67" s="220">
        <f t="shared" ref="V67:CG67" si="78">+V52+V60+V58+V61+V64</f>
        <v>0</v>
      </c>
      <c r="W67" s="220">
        <f t="shared" si="78"/>
        <v>-39450</v>
      </c>
      <c r="X67" s="220">
        <f t="shared" si="78"/>
        <v>-852822.16666666663</v>
      </c>
      <c r="Y67" s="220">
        <f t="shared" si="78"/>
        <v>-56679.166666666664</v>
      </c>
      <c r="Z67" s="220">
        <f t="shared" si="78"/>
        <v>-64679.166666666664</v>
      </c>
      <c r="AA67" s="220">
        <f t="shared" si="78"/>
        <v>-34409.186666666668</v>
      </c>
      <c r="AB67" s="220">
        <f t="shared" si="78"/>
        <v>-479.16666666666669</v>
      </c>
      <c r="AC67" s="220">
        <f t="shared" si="78"/>
        <v>-479.16666666666669</v>
      </c>
      <c r="AD67" s="220">
        <f t="shared" si="78"/>
        <v>1148376.9933333332</v>
      </c>
      <c r="AE67" s="220">
        <f t="shared" si="78"/>
        <v>0</v>
      </c>
      <c r="AF67" s="220">
        <f t="shared" si="78"/>
        <v>0</v>
      </c>
      <c r="AG67" s="220">
        <f t="shared" si="78"/>
        <v>0</v>
      </c>
      <c r="AH67" s="220">
        <f t="shared" si="78"/>
        <v>0</v>
      </c>
      <c r="AI67" s="220">
        <f t="shared" si="78"/>
        <v>0</v>
      </c>
      <c r="AJ67" s="220">
        <f t="shared" si="78"/>
        <v>0</v>
      </c>
      <c r="AK67" s="220">
        <f t="shared" si="78"/>
        <v>0</v>
      </c>
      <c r="AL67" s="220">
        <f t="shared" si="78"/>
        <v>0</v>
      </c>
      <c r="AM67" s="220">
        <f t="shared" si="78"/>
        <v>0</v>
      </c>
      <c r="AN67" s="220">
        <f t="shared" si="78"/>
        <v>0</v>
      </c>
      <c r="AO67" s="220">
        <f t="shared" si="78"/>
        <v>0</v>
      </c>
      <c r="AP67" s="220">
        <f t="shared" si="78"/>
        <v>0</v>
      </c>
      <c r="AQ67" s="220">
        <f t="shared" si="78"/>
        <v>0</v>
      </c>
      <c r="AR67" s="220">
        <f t="shared" si="78"/>
        <v>0</v>
      </c>
      <c r="AS67" s="220">
        <f t="shared" si="78"/>
        <v>0</v>
      </c>
      <c r="AT67" s="220">
        <f t="shared" si="78"/>
        <v>0</v>
      </c>
      <c r="AU67" s="220">
        <f t="shared" si="78"/>
        <v>0</v>
      </c>
      <c r="AV67" s="220">
        <f t="shared" si="78"/>
        <v>0</v>
      </c>
      <c r="AW67" s="220">
        <f t="shared" si="78"/>
        <v>0</v>
      </c>
      <c r="AX67" s="220">
        <f t="shared" si="78"/>
        <v>0</v>
      </c>
      <c r="AY67" s="220">
        <f t="shared" si="78"/>
        <v>0</v>
      </c>
      <c r="AZ67" s="220">
        <f t="shared" si="78"/>
        <v>0</v>
      </c>
      <c r="BA67" s="220">
        <f t="shared" si="78"/>
        <v>0</v>
      </c>
      <c r="BB67" s="220">
        <f t="shared" si="78"/>
        <v>0</v>
      </c>
      <c r="BC67" s="220">
        <f t="shared" si="78"/>
        <v>0</v>
      </c>
      <c r="BD67" s="220">
        <f t="shared" si="78"/>
        <v>0</v>
      </c>
      <c r="BE67" s="220">
        <f t="shared" si="78"/>
        <v>0</v>
      </c>
      <c r="BF67" s="220">
        <f t="shared" si="78"/>
        <v>0</v>
      </c>
      <c r="BG67" s="220">
        <f t="shared" si="78"/>
        <v>0</v>
      </c>
      <c r="BH67" s="220">
        <f t="shared" si="78"/>
        <v>0</v>
      </c>
      <c r="BI67" s="220">
        <f t="shared" si="78"/>
        <v>0</v>
      </c>
      <c r="BJ67" s="220">
        <f t="shared" si="78"/>
        <v>0</v>
      </c>
      <c r="BK67" s="220">
        <f t="shared" si="78"/>
        <v>0</v>
      </c>
      <c r="BL67" s="220">
        <f t="shared" si="78"/>
        <v>0</v>
      </c>
      <c r="BM67" s="220">
        <f t="shared" si="78"/>
        <v>0</v>
      </c>
      <c r="BN67" s="220">
        <f t="shared" si="78"/>
        <v>0</v>
      </c>
      <c r="BO67" s="220">
        <f t="shared" si="78"/>
        <v>0</v>
      </c>
      <c r="BP67" s="220">
        <f t="shared" si="78"/>
        <v>0</v>
      </c>
      <c r="BQ67" s="220">
        <f t="shared" si="78"/>
        <v>0</v>
      </c>
      <c r="BR67" s="220">
        <f t="shared" si="78"/>
        <v>0</v>
      </c>
      <c r="BS67" s="220">
        <f t="shared" si="78"/>
        <v>0</v>
      </c>
      <c r="BT67" s="220">
        <f t="shared" si="78"/>
        <v>0</v>
      </c>
      <c r="BU67" s="220">
        <f t="shared" si="78"/>
        <v>0</v>
      </c>
      <c r="BV67" s="220">
        <f t="shared" si="78"/>
        <v>0</v>
      </c>
      <c r="BW67" s="220">
        <f t="shared" si="78"/>
        <v>0</v>
      </c>
      <c r="BX67" s="220">
        <f t="shared" si="78"/>
        <v>0</v>
      </c>
      <c r="BY67" s="220">
        <f t="shared" si="78"/>
        <v>0</v>
      </c>
      <c r="BZ67" s="220">
        <f t="shared" si="78"/>
        <v>0</v>
      </c>
      <c r="CA67" s="220">
        <f t="shared" si="78"/>
        <v>0</v>
      </c>
      <c r="CB67" s="220">
        <f t="shared" si="78"/>
        <v>0</v>
      </c>
      <c r="CC67" s="220">
        <f t="shared" si="78"/>
        <v>0</v>
      </c>
      <c r="CD67" s="220">
        <f t="shared" si="78"/>
        <v>0</v>
      </c>
      <c r="CE67" s="220">
        <f t="shared" si="78"/>
        <v>0</v>
      </c>
      <c r="CF67" s="220">
        <f t="shared" si="78"/>
        <v>0</v>
      </c>
      <c r="CG67" s="220">
        <f t="shared" si="78"/>
        <v>0</v>
      </c>
      <c r="CH67" s="220">
        <f t="shared" ref="CH67:DB67" si="79">+CH52+CH60+CH58+CH61+CH64</f>
        <v>0</v>
      </c>
      <c r="CI67" s="220">
        <f t="shared" si="79"/>
        <v>0</v>
      </c>
      <c r="CJ67" s="220">
        <f t="shared" si="79"/>
        <v>0</v>
      </c>
      <c r="CK67" s="220">
        <f t="shared" si="79"/>
        <v>0</v>
      </c>
      <c r="CL67" s="220">
        <f t="shared" si="79"/>
        <v>0</v>
      </c>
      <c r="CM67" s="220">
        <f t="shared" si="79"/>
        <v>0</v>
      </c>
      <c r="CN67" s="220">
        <f t="shared" si="79"/>
        <v>0</v>
      </c>
      <c r="CO67" s="220">
        <f t="shared" si="79"/>
        <v>0</v>
      </c>
      <c r="CP67" s="220">
        <f t="shared" si="79"/>
        <v>0</v>
      </c>
      <c r="CQ67" s="220">
        <f t="shared" si="79"/>
        <v>0</v>
      </c>
      <c r="CR67" s="220">
        <f t="shared" si="79"/>
        <v>0</v>
      </c>
      <c r="CS67" s="220">
        <f t="shared" si="79"/>
        <v>0</v>
      </c>
      <c r="CT67" s="220">
        <f t="shared" si="79"/>
        <v>0</v>
      </c>
      <c r="CU67" s="220">
        <f t="shared" si="79"/>
        <v>0</v>
      </c>
      <c r="CV67" s="220">
        <f t="shared" si="79"/>
        <v>0</v>
      </c>
      <c r="CW67" s="220">
        <f t="shared" si="79"/>
        <v>0</v>
      </c>
      <c r="CX67" s="220">
        <f t="shared" si="79"/>
        <v>0</v>
      </c>
      <c r="CY67" s="220">
        <f t="shared" si="79"/>
        <v>0</v>
      </c>
      <c r="CZ67" s="220">
        <f t="shared" si="79"/>
        <v>0</v>
      </c>
      <c r="DA67" s="220">
        <f t="shared" si="79"/>
        <v>0</v>
      </c>
      <c r="DB67" s="220">
        <f t="shared" si="79"/>
        <v>0</v>
      </c>
      <c r="DC67" s="21" t="s">
        <v>11</v>
      </c>
    </row>
    <row r="68" spans="2:107">
      <c r="C68" s="80"/>
      <c r="I68" s="23"/>
      <c r="U68" s="58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  <c r="BA68" s="59"/>
      <c r="BB68" s="59"/>
      <c r="BC68" s="59"/>
      <c r="BD68" s="59"/>
      <c r="BE68" s="59"/>
      <c r="BF68" s="59"/>
      <c r="BG68" s="59"/>
      <c r="BH68" s="59"/>
      <c r="BI68" s="59"/>
      <c r="BJ68" s="59"/>
      <c r="BK68" s="59"/>
      <c r="BL68" s="59"/>
      <c r="BM68" s="59"/>
      <c r="BN68" s="59"/>
      <c r="BO68" s="59"/>
      <c r="BP68" s="59"/>
      <c r="BQ68" s="59"/>
      <c r="BR68" s="59"/>
      <c r="BS68" s="59"/>
      <c r="BT68" s="59"/>
      <c r="BU68" s="59"/>
      <c r="BV68" s="59"/>
      <c r="BW68" s="59"/>
      <c r="BX68" s="59"/>
      <c r="BY68" s="59"/>
      <c r="BZ68" s="59"/>
      <c r="CA68" s="59"/>
      <c r="CB68" s="59"/>
      <c r="CC68" s="59"/>
      <c r="CD68" s="59"/>
      <c r="CE68" s="59"/>
      <c r="CF68" s="59"/>
      <c r="CG68" s="59"/>
      <c r="CH68" s="59"/>
      <c r="CI68" s="59"/>
      <c r="CJ68" s="59"/>
      <c r="CK68" s="59"/>
      <c r="CL68" s="59"/>
      <c r="CM68" s="59"/>
      <c r="CN68" s="59"/>
      <c r="CO68" s="59"/>
      <c r="CP68" s="59"/>
      <c r="CQ68" s="59"/>
      <c r="CR68" s="59"/>
      <c r="CS68" s="59"/>
      <c r="CT68" s="59"/>
      <c r="CU68" s="59"/>
      <c r="CV68" s="59"/>
      <c r="CW68" s="59"/>
      <c r="CX68" s="59"/>
      <c r="CY68" s="59"/>
      <c r="CZ68" s="59"/>
      <c r="DA68" s="59"/>
      <c r="DB68" s="59"/>
      <c r="DC68" s="21" t="s">
        <v>11</v>
      </c>
    </row>
    <row r="69" spans="2:107" ht="14.85" customHeight="1">
      <c r="B69" s="203" t="s">
        <v>162</v>
      </c>
      <c r="C69" s="204">
        <f>+E69/D22</f>
        <v>8203.6954687500001</v>
      </c>
      <c r="D69" s="205">
        <f>+C69/C31-1</f>
        <v>0.33767263694267524</v>
      </c>
      <c r="E69" s="221">
        <f>+E61+E67+E65</f>
        <v>1050073.02</v>
      </c>
      <c r="F69" s="203"/>
      <c r="G69" s="222">
        <f>+G67+G60+G41+G47+G65</f>
        <v>0.99714305582291796</v>
      </c>
      <c r="I69" s="114" t="s">
        <v>163</v>
      </c>
      <c r="J69" s="1"/>
      <c r="K69" s="1"/>
      <c r="L69" s="1"/>
      <c r="M69" s="1"/>
      <c r="N69" s="1"/>
      <c r="O69" s="1"/>
      <c r="P69" s="1"/>
      <c r="T69" s="57" t="s">
        <v>164</v>
      </c>
      <c r="U69" s="58">
        <f>+SUM(V69:DB69)</f>
        <v>-24844.743333333347</v>
      </c>
      <c r="V69" s="59">
        <f t="shared" ref="V69:CG69" si="80">+-V147*$M$25*$U$67</f>
        <v>0</v>
      </c>
      <c r="W69" s="59">
        <f t="shared" si="80"/>
        <v>0</v>
      </c>
      <c r="X69" s="59">
        <f t="shared" si="80"/>
        <v>0</v>
      </c>
      <c r="Y69" s="59">
        <f t="shared" si="80"/>
        <v>0</v>
      </c>
      <c r="Z69" s="59">
        <f t="shared" si="80"/>
        <v>0</v>
      </c>
      <c r="AA69" s="59">
        <f t="shared" si="80"/>
        <v>0</v>
      </c>
      <c r="AB69" s="59">
        <f t="shared" si="80"/>
        <v>0</v>
      </c>
      <c r="AC69" s="59">
        <f t="shared" si="80"/>
        <v>0</v>
      </c>
      <c r="AD69" s="59">
        <f t="shared" si="80"/>
        <v>-24844.743333333347</v>
      </c>
      <c r="AE69" s="59">
        <f t="shared" si="80"/>
        <v>0</v>
      </c>
      <c r="AF69" s="59">
        <f t="shared" si="80"/>
        <v>0</v>
      </c>
      <c r="AG69" s="59">
        <f t="shared" si="80"/>
        <v>0</v>
      </c>
      <c r="AH69" s="59">
        <f t="shared" si="80"/>
        <v>0</v>
      </c>
      <c r="AI69" s="59">
        <f t="shared" si="80"/>
        <v>0</v>
      </c>
      <c r="AJ69" s="59">
        <f t="shared" si="80"/>
        <v>0</v>
      </c>
      <c r="AK69" s="59">
        <f t="shared" si="80"/>
        <v>0</v>
      </c>
      <c r="AL69" s="59">
        <f t="shared" si="80"/>
        <v>0</v>
      </c>
      <c r="AM69" s="59">
        <f t="shared" si="80"/>
        <v>0</v>
      </c>
      <c r="AN69" s="59">
        <f t="shared" si="80"/>
        <v>0</v>
      </c>
      <c r="AO69" s="59">
        <f t="shared" si="80"/>
        <v>0</v>
      </c>
      <c r="AP69" s="59">
        <f t="shared" si="80"/>
        <v>0</v>
      </c>
      <c r="AQ69" s="59">
        <f t="shared" si="80"/>
        <v>0</v>
      </c>
      <c r="AR69" s="59">
        <f t="shared" si="80"/>
        <v>0</v>
      </c>
      <c r="AS69" s="59">
        <f t="shared" si="80"/>
        <v>0</v>
      </c>
      <c r="AT69" s="59">
        <f t="shared" si="80"/>
        <v>0</v>
      </c>
      <c r="AU69" s="59">
        <f t="shared" si="80"/>
        <v>0</v>
      </c>
      <c r="AV69" s="59">
        <f t="shared" si="80"/>
        <v>0</v>
      </c>
      <c r="AW69" s="59">
        <f t="shared" si="80"/>
        <v>0</v>
      </c>
      <c r="AX69" s="59">
        <f t="shared" si="80"/>
        <v>0</v>
      </c>
      <c r="AY69" s="59">
        <f t="shared" si="80"/>
        <v>0</v>
      </c>
      <c r="AZ69" s="59">
        <f t="shared" si="80"/>
        <v>0</v>
      </c>
      <c r="BA69" s="59">
        <f t="shared" si="80"/>
        <v>0</v>
      </c>
      <c r="BB69" s="59">
        <f t="shared" si="80"/>
        <v>0</v>
      </c>
      <c r="BC69" s="59">
        <f t="shared" si="80"/>
        <v>0</v>
      </c>
      <c r="BD69" s="59">
        <f t="shared" si="80"/>
        <v>0</v>
      </c>
      <c r="BE69" s="59">
        <f t="shared" si="80"/>
        <v>0</v>
      </c>
      <c r="BF69" s="59">
        <f t="shared" si="80"/>
        <v>0</v>
      </c>
      <c r="BG69" s="59">
        <f t="shared" si="80"/>
        <v>0</v>
      </c>
      <c r="BH69" s="59">
        <f t="shared" si="80"/>
        <v>0</v>
      </c>
      <c r="BI69" s="59">
        <f t="shared" si="80"/>
        <v>0</v>
      </c>
      <c r="BJ69" s="59">
        <f t="shared" si="80"/>
        <v>0</v>
      </c>
      <c r="BK69" s="59">
        <f t="shared" si="80"/>
        <v>0</v>
      </c>
      <c r="BL69" s="59">
        <f t="shared" si="80"/>
        <v>0</v>
      </c>
      <c r="BM69" s="59">
        <f t="shared" si="80"/>
        <v>0</v>
      </c>
      <c r="BN69" s="59">
        <f t="shared" si="80"/>
        <v>0</v>
      </c>
      <c r="BO69" s="59">
        <f t="shared" si="80"/>
        <v>0</v>
      </c>
      <c r="BP69" s="59">
        <f t="shared" si="80"/>
        <v>0</v>
      </c>
      <c r="BQ69" s="59">
        <f t="shared" si="80"/>
        <v>0</v>
      </c>
      <c r="BR69" s="59">
        <f t="shared" si="80"/>
        <v>0</v>
      </c>
      <c r="BS69" s="59">
        <f t="shared" si="80"/>
        <v>0</v>
      </c>
      <c r="BT69" s="59">
        <f t="shared" si="80"/>
        <v>0</v>
      </c>
      <c r="BU69" s="59">
        <f t="shared" si="80"/>
        <v>0</v>
      </c>
      <c r="BV69" s="59">
        <f t="shared" si="80"/>
        <v>0</v>
      </c>
      <c r="BW69" s="59">
        <f t="shared" si="80"/>
        <v>0</v>
      </c>
      <c r="BX69" s="59">
        <f t="shared" si="80"/>
        <v>0</v>
      </c>
      <c r="BY69" s="59">
        <f t="shared" si="80"/>
        <v>0</v>
      </c>
      <c r="BZ69" s="59">
        <f t="shared" si="80"/>
        <v>0</v>
      </c>
      <c r="CA69" s="59">
        <f t="shared" si="80"/>
        <v>0</v>
      </c>
      <c r="CB69" s="59">
        <f t="shared" si="80"/>
        <v>0</v>
      </c>
      <c r="CC69" s="59">
        <f t="shared" si="80"/>
        <v>0</v>
      </c>
      <c r="CD69" s="59">
        <f t="shared" si="80"/>
        <v>0</v>
      </c>
      <c r="CE69" s="59">
        <f t="shared" si="80"/>
        <v>0</v>
      </c>
      <c r="CF69" s="59">
        <f t="shared" si="80"/>
        <v>0</v>
      </c>
      <c r="CG69" s="59">
        <f t="shared" si="80"/>
        <v>0</v>
      </c>
      <c r="CH69" s="59">
        <f t="shared" ref="CH69:DB69" si="81">+-CH147*$M$25*$U$67</f>
        <v>0</v>
      </c>
      <c r="CI69" s="59">
        <f t="shared" si="81"/>
        <v>0</v>
      </c>
      <c r="CJ69" s="59">
        <f t="shared" si="81"/>
        <v>0</v>
      </c>
      <c r="CK69" s="59">
        <f t="shared" si="81"/>
        <v>0</v>
      </c>
      <c r="CL69" s="59">
        <f t="shared" si="81"/>
        <v>0</v>
      </c>
      <c r="CM69" s="59">
        <f t="shared" si="81"/>
        <v>0</v>
      </c>
      <c r="CN69" s="59">
        <f t="shared" si="81"/>
        <v>0</v>
      </c>
      <c r="CO69" s="59">
        <f t="shared" si="81"/>
        <v>0</v>
      </c>
      <c r="CP69" s="59">
        <f t="shared" si="81"/>
        <v>0</v>
      </c>
      <c r="CQ69" s="59">
        <f t="shared" si="81"/>
        <v>0</v>
      </c>
      <c r="CR69" s="59">
        <f t="shared" si="81"/>
        <v>0</v>
      </c>
      <c r="CS69" s="59">
        <f t="shared" si="81"/>
        <v>0</v>
      </c>
      <c r="CT69" s="59">
        <f t="shared" si="81"/>
        <v>0</v>
      </c>
      <c r="CU69" s="59">
        <f t="shared" si="81"/>
        <v>0</v>
      </c>
      <c r="CV69" s="59">
        <f t="shared" si="81"/>
        <v>0</v>
      </c>
      <c r="CW69" s="59">
        <f t="shared" si="81"/>
        <v>0</v>
      </c>
      <c r="CX69" s="59">
        <f t="shared" si="81"/>
        <v>0</v>
      </c>
      <c r="CY69" s="59">
        <f t="shared" si="81"/>
        <v>0</v>
      </c>
      <c r="CZ69" s="59">
        <f t="shared" si="81"/>
        <v>0</v>
      </c>
      <c r="DA69" s="59">
        <f t="shared" si="81"/>
        <v>0</v>
      </c>
      <c r="DB69" s="59">
        <f t="shared" si="81"/>
        <v>0</v>
      </c>
      <c r="DC69" s="21" t="s">
        <v>11</v>
      </c>
    </row>
    <row r="70" spans="2:107">
      <c r="B70" s="223"/>
      <c r="C70" s="224"/>
      <c r="D70" s="225"/>
      <c r="E70" s="224"/>
      <c r="L70" s="366" t="s">
        <v>165</v>
      </c>
      <c r="M70" s="366"/>
      <c r="N70" s="366"/>
      <c r="O70" s="366"/>
      <c r="P70" s="366"/>
      <c r="T70" s="178" t="s">
        <v>66</v>
      </c>
      <c r="U70" s="226">
        <f>+SUM(V70:DB70)</f>
        <v>-24844.743333333347</v>
      </c>
      <c r="V70" s="227">
        <f>+V69</f>
        <v>0</v>
      </c>
      <c r="W70" s="227">
        <f t="shared" ref="W70:CH70" si="82">+W69</f>
        <v>0</v>
      </c>
      <c r="X70" s="227">
        <f t="shared" si="82"/>
        <v>0</v>
      </c>
      <c r="Y70" s="227">
        <f t="shared" si="82"/>
        <v>0</v>
      </c>
      <c r="Z70" s="227">
        <f t="shared" si="82"/>
        <v>0</v>
      </c>
      <c r="AA70" s="227">
        <f t="shared" si="82"/>
        <v>0</v>
      </c>
      <c r="AB70" s="227">
        <f t="shared" si="82"/>
        <v>0</v>
      </c>
      <c r="AC70" s="227">
        <f t="shared" si="82"/>
        <v>0</v>
      </c>
      <c r="AD70" s="227">
        <f t="shared" si="82"/>
        <v>-24844.743333333347</v>
      </c>
      <c r="AE70" s="227">
        <f t="shared" si="82"/>
        <v>0</v>
      </c>
      <c r="AF70" s="227">
        <f t="shared" si="82"/>
        <v>0</v>
      </c>
      <c r="AG70" s="227">
        <f t="shared" si="82"/>
        <v>0</v>
      </c>
      <c r="AH70" s="227">
        <f t="shared" si="82"/>
        <v>0</v>
      </c>
      <c r="AI70" s="227">
        <f t="shared" si="82"/>
        <v>0</v>
      </c>
      <c r="AJ70" s="227">
        <f t="shared" si="82"/>
        <v>0</v>
      </c>
      <c r="AK70" s="227">
        <f t="shared" si="82"/>
        <v>0</v>
      </c>
      <c r="AL70" s="227">
        <f t="shared" si="82"/>
        <v>0</v>
      </c>
      <c r="AM70" s="227">
        <f t="shared" si="82"/>
        <v>0</v>
      </c>
      <c r="AN70" s="227">
        <f t="shared" si="82"/>
        <v>0</v>
      </c>
      <c r="AO70" s="227">
        <f t="shared" si="82"/>
        <v>0</v>
      </c>
      <c r="AP70" s="227">
        <f t="shared" si="82"/>
        <v>0</v>
      </c>
      <c r="AQ70" s="227">
        <f t="shared" si="82"/>
        <v>0</v>
      </c>
      <c r="AR70" s="227">
        <f t="shared" si="82"/>
        <v>0</v>
      </c>
      <c r="AS70" s="227">
        <f t="shared" si="82"/>
        <v>0</v>
      </c>
      <c r="AT70" s="227">
        <f t="shared" si="82"/>
        <v>0</v>
      </c>
      <c r="AU70" s="227">
        <f t="shared" si="82"/>
        <v>0</v>
      </c>
      <c r="AV70" s="227">
        <f t="shared" si="82"/>
        <v>0</v>
      </c>
      <c r="AW70" s="227">
        <f t="shared" si="82"/>
        <v>0</v>
      </c>
      <c r="AX70" s="227">
        <f t="shared" si="82"/>
        <v>0</v>
      </c>
      <c r="AY70" s="227">
        <f t="shared" si="82"/>
        <v>0</v>
      </c>
      <c r="AZ70" s="227">
        <f t="shared" si="82"/>
        <v>0</v>
      </c>
      <c r="BA70" s="227">
        <f t="shared" si="82"/>
        <v>0</v>
      </c>
      <c r="BB70" s="227">
        <f t="shared" si="82"/>
        <v>0</v>
      </c>
      <c r="BC70" s="227">
        <f t="shared" si="82"/>
        <v>0</v>
      </c>
      <c r="BD70" s="227">
        <f t="shared" si="82"/>
        <v>0</v>
      </c>
      <c r="BE70" s="227">
        <f t="shared" si="82"/>
        <v>0</v>
      </c>
      <c r="BF70" s="227">
        <f t="shared" si="82"/>
        <v>0</v>
      </c>
      <c r="BG70" s="227">
        <f t="shared" si="82"/>
        <v>0</v>
      </c>
      <c r="BH70" s="227">
        <f t="shared" si="82"/>
        <v>0</v>
      </c>
      <c r="BI70" s="227">
        <f t="shared" si="82"/>
        <v>0</v>
      </c>
      <c r="BJ70" s="227">
        <f t="shared" si="82"/>
        <v>0</v>
      </c>
      <c r="BK70" s="227">
        <f t="shared" si="82"/>
        <v>0</v>
      </c>
      <c r="BL70" s="227">
        <f t="shared" si="82"/>
        <v>0</v>
      </c>
      <c r="BM70" s="227">
        <f t="shared" si="82"/>
        <v>0</v>
      </c>
      <c r="BN70" s="227">
        <f t="shared" si="82"/>
        <v>0</v>
      </c>
      <c r="BO70" s="227">
        <f t="shared" si="82"/>
        <v>0</v>
      </c>
      <c r="BP70" s="227">
        <f t="shared" si="82"/>
        <v>0</v>
      </c>
      <c r="BQ70" s="227">
        <f t="shared" si="82"/>
        <v>0</v>
      </c>
      <c r="BR70" s="227">
        <f t="shared" si="82"/>
        <v>0</v>
      </c>
      <c r="BS70" s="227">
        <f t="shared" si="82"/>
        <v>0</v>
      </c>
      <c r="BT70" s="227">
        <f t="shared" si="82"/>
        <v>0</v>
      </c>
      <c r="BU70" s="227">
        <f t="shared" si="82"/>
        <v>0</v>
      </c>
      <c r="BV70" s="227">
        <f t="shared" si="82"/>
        <v>0</v>
      </c>
      <c r="BW70" s="227">
        <f t="shared" si="82"/>
        <v>0</v>
      </c>
      <c r="BX70" s="227">
        <f t="shared" si="82"/>
        <v>0</v>
      </c>
      <c r="BY70" s="227">
        <f t="shared" si="82"/>
        <v>0</v>
      </c>
      <c r="BZ70" s="227">
        <f t="shared" si="82"/>
        <v>0</v>
      </c>
      <c r="CA70" s="227">
        <f t="shared" si="82"/>
        <v>0</v>
      </c>
      <c r="CB70" s="227">
        <f t="shared" si="82"/>
        <v>0</v>
      </c>
      <c r="CC70" s="227">
        <f t="shared" si="82"/>
        <v>0</v>
      </c>
      <c r="CD70" s="227">
        <f t="shared" si="82"/>
        <v>0</v>
      </c>
      <c r="CE70" s="227">
        <f t="shared" si="82"/>
        <v>0</v>
      </c>
      <c r="CF70" s="227">
        <f t="shared" si="82"/>
        <v>0</v>
      </c>
      <c r="CG70" s="227">
        <f t="shared" si="82"/>
        <v>0</v>
      </c>
      <c r="CH70" s="227">
        <f t="shared" si="82"/>
        <v>0</v>
      </c>
      <c r="CI70" s="227">
        <f t="shared" ref="CI70:DB70" si="83">+CI69</f>
        <v>0</v>
      </c>
      <c r="CJ70" s="227">
        <f t="shared" si="83"/>
        <v>0</v>
      </c>
      <c r="CK70" s="227">
        <f t="shared" si="83"/>
        <v>0</v>
      </c>
      <c r="CL70" s="227">
        <f t="shared" si="83"/>
        <v>0</v>
      </c>
      <c r="CM70" s="227">
        <f t="shared" si="83"/>
        <v>0</v>
      </c>
      <c r="CN70" s="227">
        <f t="shared" si="83"/>
        <v>0</v>
      </c>
      <c r="CO70" s="227">
        <f t="shared" si="83"/>
        <v>0</v>
      </c>
      <c r="CP70" s="227">
        <f t="shared" si="83"/>
        <v>0</v>
      </c>
      <c r="CQ70" s="227">
        <f t="shared" si="83"/>
        <v>0</v>
      </c>
      <c r="CR70" s="227">
        <f t="shared" si="83"/>
        <v>0</v>
      </c>
      <c r="CS70" s="227">
        <f t="shared" si="83"/>
        <v>0</v>
      </c>
      <c r="CT70" s="227">
        <f t="shared" si="83"/>
        <v>0</v>
      </c>
      <c r="CU70" s="227">
        <f t="shared" si="83"/>
        <v>0</v>
      </c>
      <c r="CV70" s="227">
        <f t="shared" si="83"/>
        <v>0</v>
      </c>
      <c r="CW70" s="227">
        <f t="shared" si="83"/>
        <v>0</v>
      </c>
      <c r="CX70" s="227">
        <f t="shared" si="83"/>
        <v>0</v>
      </c>
      <c r="CY70" s="227">
        <f t="shared" si="83"/>
        <v>0</v>
      </c>
      <c r="CZ70" s="227">
        <f t="shared" si="83"/>
        <v>0</v>
      </c>
      <c r="DA70" s="227">
        <f t="shared" si="83"/>
        <v>0</v>
      </c>
      <c r="DB70" s="227">
        <f t="shared" si="83"/>
        <v>0</v>
      </c>
      <c r="DC70" s="21" t="s">
        <v>11</v>
      </c>
    </row>
    <row r="71" spans="2:107" ht="15.75" thickBot="1">
      <c r="B71" s="3" t="s">
        <v>166</v>
      </c>
      <c r="C71" s="1"/>
      <c r="D71" s="1"/>
      <c r="E71" s="1"/>
      <c r="F71" s="1"/>
      <c r="G71" s="1"/>
      <c r="J71" s="228" t="s">
        <v>101</v>
      </c>
      <c r="K71" s="74"/>
      <c r="L71" s="73">
        <f>+L72*$D$22</f>
        <v>1158400</v>
      </c>
      <c r="M71" s="73">
        <f>+M72*$D$22</f>
        <v>1177600</v>
      </c>
      <c r="N71" s="73">
        <f>+N72*$D$22</f>
        <v>1196800</v>
      </c>
      <c r="O71" s="73">
        <f>+O72*$D$22</f>
        <v>1209600</v>
      </c>
      <c r="P71" s="73">
        <f>+P72*$D$22</f>
        <v>1222400</v>
      </c>
      <c r="U71" s="58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  <c r="BA71" s="59"/>
      <c r="BB71" s="59"/>
      <c r="BC71" s="59"/>
      <c r="BD71" s="59"/>
      <c r="BE71" s="59"/>
      <c r="BF71" s="59"/>
      <c r="BG71" s="59"/>
      <c r="BH71" s="59"/>
      <c r="BI71" s="59"/>
      <c r="BJ71" s="59"/>
      <c r="BK71" s="59"/>
      <c r="BL71" s="59"/>
      <c r="BM71" s="59"/>
      <c r="BN71" s="59"/>
      <c r="BO71" s="59"/>
      <c r="BP71" s="59"/>
      <c r="BQ71" s="59"/>
      <c r="BR71" s="59"/>
      <c r="BS71" s="59"/>
      <c r="BT71" s="59"/>
      <c r="BU71" s="59"/>
      <c r="BV71" s="59"/>
      <c r="BW71" s="59"/>
      <c r="BX71" s="59"/>
      <c r="BY71" s="59"/>
      <c r="BZ71" s="59"/>
      <c r="CA71" s="59"/>
      <c r="CB71" s="59"/>
      <c r="CC71" s="59"/>
      <c r="CD71" s="59"/>
      <c r="CE71" s="59"/>
      <c r="CF71" s="59"/>
      <c r="CG71" s="59"/>
      <c r="CH71" s="59"/>
      <c r="CI71" s="59"/>
      <c r="CJ71" s="59"/>
      <c r="CK71" s="59"/>
      <c r="CL71" s="59"/>
      <c r="CM71" s="59"/>
      <c r="CN71" s="59"/>
      <c r="CO71" s="59"/>
      <c r="CP71" s="59"/>
      <c r="CQ71" s="59"/>
      <c r="CR71" s="59"/>
      <c r="CS71" s="59"/>
      <c r="CT71" s="59"/>
      <c r="CU71" s="59"/>
      <c r="CV71" s="59"/>
      <c r="CW71" s="59"/>
      <c r="CX71" s="59"/>
      <c r="CY71" s="59"/>
      <c r="CZ71" s="59"/>
      <c r="DA71" s="59"/>
      <c r="DB71" s="59"/>
      <c r="DC71" s="21" t="s">
        <v>11</v>
      </c>
    </row>
    <row r="72" spans="2:107">
      <c r="D72" s="22" t="s">
        <v>52</v>
      </c>
      <c r="E72" s="22" t="s">
        <v>81</v>
      </c>
      <c r="F72" s="22" t="s">
        <v>83</v>
      </c>
      <c r="I72" s="367" t="s">
        <v>167</v>
      </c>
      <c r="J72" s="48"/>
      <c r="K72" s="229">
        <f>+P42</f>
        <v>0.1770785629749298</v>
      </c>
      <c r="L72" s="56">
        <f>+M72-150</f>
        <v>9050</v>
      </c>
      <c r="M72" s="56">
        <f>+N72-150</f>
        <v>9200</v>
      </c>
      <c r="N72" s="230">
        <v>9350</v>
      </c>
      <c r="O72" s="56">
        <f>+N72+100</f>
        <v>9450</v>
      </c>
      <c r="P72" s="56">
        <f>+O72+100</f>
        <v>9550</v>
      </c>
      <c r="T72" s="218" t="s">
        <v>168</v>
      </c>
      <c r="U72" s="231">
        <f>+SUM(V72:DB72)</f>
        <v>74534.229999999981</v>
      </c>
      <c r="V72" s="220">
        <f t="shared" ref="V72:CG72" si="84">+V70+V67</f>
        <v>0</v>
      </c>
      <c r="W72" s="220">
        <f t="shared" si="84"/>
        <v>-39450</v>
      </c>
      <c r="X72" s="220">
        <f t="shared" si="84"/>
        <v>-852822.16666666663</v>
      </c>
      <c r="Y72" s="220">
        <f t="shared" si="84"/>
        <v>-56679.166666666664</v>
      </c>
      <c r="Z72" s="220">
        <f t="shared" si="84"/>
        <v>-64679.166666666664</v>
      </c>
      <c r="AA72" s="220">
        <f t="shared" si="84"/>
        <v>-34409.186666666668</v>
      </c>
      <c r="AB72" s="220">
        <f t="shared" si="84"/>
        <v>-479.16666666666669</v>
      </c>
      <c r="AC72" s="220">
        <f t="shared" si="84"/>
        <v>-479.16666666666669</v>
      </c>
      <c r="AD72" s="220">
        <f t="shared" si="84"/>
        <v>1123532.2499999998</v>
      </c>
      <c r="AE72" s="220">
        <f t="shared" si="84"/>
        <v>0</v>
      </c>
      <c r="AF72" s="220">
        <f t="shared" si="84"/>
        <v>0</v>
      </c>
      <c r="AG72" s="220">
        <f t="shared" si="84"/>
        <v>0</v>
      </c>
      <c r="AH72" s="220">
        <f t="shared" si="84"/>
        <v>0</v>
      </c>
      <c r="AI72" s="220">
        <f t="shared" si="84"/>
        <v>0</v>
      </c>
      <c r="AJ72" s="220">
        <f t="shared" si="84"/>
        <v>0</v>
      </c>
      <c r="AK72" s="220">
        <f t="shared" si="84"/>
        <v>0</v>
      </c>
      <c r="AL72" s="220">
        <f t="shared" si="84"/>
        <v>0</v>
      </c>
      <c r="AM72" s="220">
        <f t="shared" si="84"/>
        <v>0</v>
      </c>
      <c r="AN72" s="220">
        <f t="shared" si="84"/>
        <v>0</v>
      </c>
      <c r="AO72" s="220">
        <f t="shared" si="84"/>
        <v>0</v>
      </c>
      <c r="AP72" s="220">
        <f t="shared" si="84"/>
        <v>0</v>
      </c>
      <c r="AQ72" s="220">
        <f t="shared" si="84"/>
        <v>0</v>
      </c>
      <c r="AR72" s="220">
        <f t="shared" si="84"/>
        <v>0</v>
      </c>
      <c r="AS72" s="220">
        <f t="shared" si="84"/>
        <v>0</v>
      </c>
      <c r="AT72" s="220">
        <f t="shared" si="84"/>
        <v>0</v>
      </c>
      <c r="AU72" s="220">
        <f t="shared" si="84"/>
        <v>0</v>
      </c>
      <c r="AV72" s="220">
        <f t="shared" si="84"/>
        <v>0</v>
      </c>
      <c r="AW72" s="220">
        <f t="shared" si="84"/>
        <v>0</v>
      </c>
      <c r="AX72" s="220">
        <f t="shared" si="84"/>
        <v>0</v>
      </c>
      <c r="AY72" s="220">
        <f t="shared" si="84"/>
        <v>0</v>
      </c>
      <c r="AZ72" s="220">
        <f t="shared" si="84"/>
        <v>0</v>
      </c>
      <c r="BA72" s="220">
        <f t="shared" si="84"/>
        <v>0</v>
      </c>
      <c r="BB72" s="220">
        <f t="shared" si="84"/>
        <v>0</v>
      </c>
      <c r="BC72" s="220">
        <f t="shared" si="84"/>
        <v>0</v>
      </c>
      <c r="BD72" s="220">
        <f t="shared" si="84"/>
        <v>0</v>
      </c>
      <c r="BE72" s="220">
        <f t="shared" si="84"/>
        <v>0</v>
      </c>
      <c r="BF72" s="220">
        <f t="shared" si="84"/>
        <v>0</v>
      </c>
      <c r="BG72" s="220">
        <f t="shared" si="84"/>
        <v>0</v>
      </c>
      <c r="BH72" s="220">
        <f t="shared" si="84"/>
        <v>0</v>
      </c>
      <c r="BI72" s="220">
        <f t="shared" si="84"/>
        <v>0</v>
      </c>
      <c r="BJ72" s="220">
        <f t="shared" si="84"/>
        <v>0</v>
      </c>
      <c r="BK72" s="220">
        <f t="shared" si="84"/>
        <v>0</v>
      </c>
      <c r="BL72" s="220">
        <f t="shared" si="84"/>
        <v>0</v>
      </c>
      <c r="BM72" s="220">
        <f t="shared" si="84"/>
        <v>0</v>
      </c>
      <c r="BN72" s="220">
        <f t="shared" si="84"/>
        <v>0</v>
      </c>
      <c r="BO72" s="220">
        <f t="shared" si="84"/>
        <v>0</v>
      </c>
      <c r="BP72" s="220">
        <f t="shared" si="84"/>
        <v>0</v>
      </c>
      <c r="BQ72" s="220">
        <f t="shared" si="84"/>
        <v>0</v>
      </c>
      <c r="BR72" s="220">
        <f t="shared" si="84"/>
        <v>0</v>
      </c>
      <c r="BS72" s="220">
        <f t="shared" si="84"/>
        <v>0</v>
      </c>
      <c r="BT72" s="220">
        <f t="shared" si="84"/>
        <v>0</v>
      </c>
      <c r="BU72" s="220">
        <f t="shared" si="84"/>
        <v>0</v>
      </c>
      <c r="BV72" s="220">
        <f t="shared" si="84"/>
        <v>0</v>
      </c>
      <c r="BW72" s="220">
        <f t="shared" si="84"/>
        <v>0</v>
      </c>
      <c r="BX72" s="220">
        <f t="shared" si="84"/>
        <v>0</v>
      </c>
      <c r="BY72" s="220">
        <f t="shared" si="84"/>
        <v>0</v>
      </c>
      <c r="BZ72" s="220">
        <f t="shared" si="84"/>
        <v>0</v>
      </c>
      <c r="CA72" s="220">
        <f t="shared" si="84"/>
        <v>0</v>
      </c>
      <c r="CB72" s="220">
        <f t="shared" si="84"/>
        <v>0</v>
      </c>
      <c r="CC72" s="220">
        <f t="shared" si="84"/>
        <v>0</v>
      </c>
      <c r="CD72" s="220">
        <f t="shared" si="84"/>
        <v>0</v>
      </c>
      <c r="CE72" s="220">
        <f t="shared" si="84"/>
        <v>0</v>
      </c>
      <c r="CF72" s="220">
        <f t="shared" si="84"/>
        <v>0</v>
      </c>
      <c r="CG72" s="220">
        <f t="shared" si="84"/>
        <v>0</v>
      </c>
      <c r="CH72" s="220">
        <f t="shared" ref="CH72:DB72" si="85">+CH70+CH67</f>
        <v>0</v>
      </c>
      <c r="CI72" s="220">
        <f t="shared" si="85"/>
        <v>0</v>
      </c>
      <c r="CJ72" s="220">
        <f t="shared" si="85"/>
        <v>0</v>
      </c>
      <c r="CK72" s="220">
        <f t="shared" si="85"/>
        <v>0</v>
      </c>
      <c r="CL72" s="220">
        <f t="shared" si="85"/>
        <v>0</v>
      </c>
      <c r="CM72" s="220">
        <f t="shared" si="85"/>
        <v>0</v>
      </c>
      <c r="CN72" s="220">
        <f t="shared" si="85"/>
        <v>0</v>
      </c>
      <c r="CO72" s="220">
        <f t="shared" si="85"/>
        <v>0</v>
      </c>
      <c r="CP72" s="220">
        <f t="shared" si="85"/>
        <v>0</v>
      </c>
      <c r="CQ72" s="220">
        <f t="shared" si="85"/>
        <v>0</v>
      </c>
      <c r="CR72" s="220">
        <f t="shared" si="85"/>
        <v>0</v>
      </c>
      <c r="CS72" s="220">
        <f t="shared" si="85"/>
        <v>0</v>
      </c>
      <c r="CT72" s="220">
        <f t="shared" si="85"/>
        <v>0</v>
      </c>
      <c r="CU72" s="220">
        <f t="shared" si="85"/>
        <v>0</v>
      </c>
      <c r="CV72" s="220">
        <f t="shared" si="85"/>
        <v>0</v>
      </c>
      <c r="CW72" s="220">
        <f t="shared" si="85"/>
        <v>0</v>
      </c>
      <c r="CX72" s="220">
        <f t="shared" si="85"/>
        <v>0</v>
      </c>
      <c r="CY72" s="220">
        <f t="shared" si="85"/>
        <v>0</v>
      </c>
      <c r="CZ72" s="220">
        <f t="shared" si="85"/>
        <v>0</v>
      </c>
      <c r="DA72" s="220">
        <f t="shared" si="85"/>
        <v>0</v>
      </c>
      <c r="DB72" s="220">
        <f t="shared" si="85"/>
        <v>0</v>
      </c>
      <c r="DC72" s="21" t="s">
        <v>11</v>
      </c>
    </row>
    <row r="73" spans="2:107">
      <c r="B73" s="9" t="s">
        <v>169</v>
      </c>
      <c r="D73" s="25">
        <f t="shared" ref="D73:D78" si="86">+E73/$D$22</f>
        <v>6132.8125</v>
      </c>
      <c r="E73" s="25">
        <f>+E34</f>
        <v>785000</v>
      </c>
      <c r="F73" s="61">
        <f>+E73/$E$81</f>
        <v>0.74756705966981229</v>
      </c>
      <c r="I73" s="367"/>
      <c r="J73" s="232">
        <f>+K73*$D$53</f>
        <v>797824</v>
      </c>
      <c r="K73" s="233">
        <f>+K74+50</f>
        <v>6233</v>
      </c>
      <c r="L73" s="61">
        <f t="dataTable" ref="L73:P77" dt2D="1" dtr="1" r1="O20" r2="C31"/>
        <v>9.7304493188858004E-2</v>
      </c>
      <c r="M73" s="61">
        <v>0.13039770722389227</v>
      </c>
      <c r="N73" s="234">
        <v>0.15571649670600896</v>
      </c>
      <c r="O73" s="61">
        <v>0.17275541424751284</v>
      </c>
      <c r="P73" s="61">
        <v>0.18992214798927301</v>
      </c>
      <c r="T73" s="18" t="s">
        <v>170</v>
      </c>
      <c r="U73" s="235">
        <f>+XIRR($W$72:$DB$72,W8:DB8)</f>
        <v>0.15424368977546699</v>
      </c>
      <c r="V73" s="174"/>
      <c r="W73" s="174"/>
      <c r="X73" s="174"/>
      <c r="Y73" s="174"/>
      <c r="Z73" s="174"/>
      <c r="AA73" s="174"/>
      <c r="AB73" s="174"/>
      <c r="AC73" s="174"/>
      <c r="AD73" s="174"/>
      <c r="AE73" s="174"/>
      <c r="AF73" s="174"/>
      <c r="AG73" s="174"/>
      <c r="AH73" s="174"/>
      <c r="AI73" s="174"/>
      <c r="AJ73" s="174"/>
      <c r="AK73" s="174"/>
      <c r="AL73" s="174"/>
      <c r="AM73" s="174"/>
      <c r="AN73" s="174"/>
      <c r="AO73" s="174"/>
      <c r="AP73" s="174"/>
      <c r="AQ73" s="174"/>
      <c r="AR73" s="174"/>
      <c r="AS73" s="174"/>
      <c r="AT73" s="174"/>
      <c r="AU73" s="174"/>
      <c r="AV73" s="174"/>
      <c r="AW73" s="174"/>
      <c r="AX73" s="174"/>
      <c r="AY73" s="174"/>
      <c r="AZ73" s="174"/>
      <c r="BA73" s="174"/>
      <c r="BB73" s="174"/>
      <c r="BC73" s="174"/>
      <c r="BD73" s="174"/>
      <c r="BE73" s="174"/>
      <c r="BF73" s="174"/>
      <c r="BG73" s="174"/>
      <c r="BH73" s="174"/>
      <c r="BI73" s="174"/>
      <c r="BJ73" s="174"/>
      <c r="BK73" s="174"/>
      <c r="BL73" s="174"/>
      <c r="BM73" s="174"/>
      <c r="BN73" s="174"/>
      <c r="BO73" s="174"/>
      <c r="BP73" s="174"/>
      <c r="BQ73" s="174"/>
      <c r="BR73" s="174"/>
      <c r="BS73" s="174"/>
      <c r="BT73" s="174"/>
      <c r="BU73" s="174"/>
      <c r="BV73" s="174"/>
      <c r="BW73" s="174"/>
      <c r="BX73" s="174"/>
      <c r="BY73" s="174"/>
      <c r="BZ73" s="174"/>
      <c r="CA73" s="174"/>
      <c r="CB73" s="174"/>
      <c r="CC73" s="174"/>
      <c r="CD73" s="174"/>
      <c r="CE73" s="174"/>
      <c r="CF73" s="174"/>
      <c r="CG73" s="174"/>
      <c r="CH73" s="174"/>
      <c r="CI73" s="174"/>
      <c r="CJ73" s="174"/>
      <c r="CK73" s="174"/>
      <c r="CL73" s="174"/>
      <c r="CM73" s="174"/>
      <c r="CN73" s="174"/>
      <c r="CO73" s="174"/>
      <c r="CP73" s="174"/>
      <c r="CQ73" s="174"/>
      <c r="CR73" s="174"/>
      <c r="CS73" s="174"/>
      <c r="CT73" s="174"/>
      <c r="CU73" s="174"/>
      <c r="CV73" s="174"/>
      <c r="CW73" s="174"/>
      <c r="CX73" s="174"/>
      <c r="CY73" s="174"/>
      <c r="CZ73" s="174"/>
      <c r="DA73" s="174"/>
      <c r="DB73" s="174"/>
      <c r="DC73" s="21" t="s">
        <v>11</v>
      </c>
    </row>
    <row r="74" spans="2:107">
      <c r="B74" s="74" t="s">
        <v>171</v>
      </c>
      <c r="C74" s="74"/>
      <c r="D74" s="73">
        <f t="shared" si="86"/>
        <v>601.921875</v>
      </c>
      <c r="E74" s="73">
        <f>+SUM(E35:E40)</f>
        <v>77046</v>
      </c>
      <c r="F74" s="236">
        <f>+E74/$E$81</f>
        <v>7.3372040355822107E-2</v>
      </c>
      <c r="G74" s="74"/>
      <c r="I74" s="367"/>
      <c r="J74" s="232">
        <f t="shared" ref="J74:J77" si="87">+K74*$D$53</f>
        <v>791424</v>
      </c>
      <c r="K74" s="233">
        <f>+K75+50</f>
        <v>6183</v>
      </c>
      <c r="L74" s="61">
        <v>0.11261039376258852</v>
      </c>
      <c r="M74" s="237">
        <v>0.14066317677497867</v>
      </c>
      <c r="N74" s="238">
        <v>0.16627767682075506</v>
      </c>
      <c r="O74" s="239">
        <v>0.18351604342460634</v>
      </c>
      <c r="P74" s="61">
        <v>0.20088407397270203</v>
      </c>
      <c r="DC74" s="21" t="s">
        <v>11</v>
      </c>
    </row>
    <row r="75" spans="2:107">
      <c r="B75" s="9" t="s">
        <v>62</v>
      </c>
      <c r="D75" s="25">
        <f t="shared" si="86"/>
        <v>23.828125</v>
      </c>
      <c r="E75" s="25">
        <f>+E47</f>
        <v>3050</v>
      </c>
      <c r="F75" s="61">
        <f>+E75/$E$81</f>
        <v>2.9045599133667864E-3</v>
      </c>
      <c r="I75" s="367"/>
      <c r="J75" s="232">
        <f t="shared" si="87"/>
        <v>785024</v>
      </c>
      <c r="K75" s="240">
        <v>6133</v>
      </c>
      <c r="L75" s="234">
        <v>0.12550131678581236</v>
      </c>
      <c r="M75" s="241">
        <v>0.15112169384956359</v>
      </c>
      <c r="N75" s="242">
        <v>0.1770378410816193</v>
      </c>
      <c r="O75" s="243">
        <v>0.19447965025901789</v>
      </c>
      <c r="P75" s="234">
        <v>0.21205300688743595</v>
      </c>
      <c r="T75" s="244" t="s">
        <v>172</v>
      </c>
      <c r="U75" s="245"/>
      <c r="V75" s="246">
        <f t="shared" ref="V75:CG75" si="88">+(U75+V72)*V155</f>
        <v>0</v>
      </c>
      <c r="W75" s="246">
        <f t="shared" si="88"/>
        <v>-39450</v>
      </c>
      <c r="X75" s="246">
        <f t="shared" si="88"/>
        <v>-892272.16666666663</v>
      </c>
      <c r="Y75" s="246">
        <f t="shared" si="88"/>
        <v>-948951.33333333326</v>
      </c>
      <c r="Z75" s="246">
        <f t="shared" si="88"/>
        <v>-1013630.4999999999</v>
      </c>
      <c r="AA75" s="246">
        <f t="shared" si="88"/>
        <v>-1048039.6866666665</v>
      </c>
      <c r="AB75" s="246">
        <f t="shared" si="88"/>
        <v>-1048518.8533333332</v>
      </c>
      <c r="AC75" s="246">
        <f t="shared" si="88"/>
        <v>-1048998.0199999998</v>
      </c>
      <c r="AD75" s="246">
        <f t="shared" si="88"/>
        <v>74534.229999999981</v>
      </c>
      <c r="AE75" s="246">
        <f t="shared" si="88"/>
        <v>0</v>
      </c>
      <c r="AF75" s="246">
        <f t="shared" si="88"/>
        <v>0</v>
      </c>
      <c r="AG75" s="246">
        <f t="shared" si="88"/>
        <v>0</v>
      </c>
      <c r="AH75" s="246">
        <f t="shared" si="88"/>
        <v>0</v>
      </c>
      <c r="AI75" s="246">
        <f t="shared" si="88"/>
        <v>0</v>
      </c>
      <c r="AJ75" s="246">
        <f t="shared" si="88"/>
        <v>0</v>
      </c>
      <c r="AK75" s="246">
        <f t="shared" si="88"/>
        <v>0</v>
      </c>
      <c r="AL75" s="246">
        <f t="shared" si="88"/>
        <v>0</v>
      </c>
      <c r="AM75" s="246">
        <f t="shared" si="88"/>
        <v>0</v>
      </c>
      <c r="AN75" s="246">
        <f t="shared" si="88"/>
        <v>0</v>
      </c>
      <c r="AO75" s="246">
        <f t="shared" si="88"/>
        <v>0</v>
      </c>
      <c r="AP75" s="246">
        <f t="shared" si="88"/>
        <v>0</v>
      </c>
      <c r="AQ75" s="246">
        <f t="shared" si="88"/>
        <v>0</v>
      </c>
      <c r="AR75" s="246">
        <f t="shared" si="88"/>
        <v>0</v>
      </c>
      <c r="AS75" s="246">
        <f t="shared" si="88"/>
        <v>0</v>
      </c>
      <c r="AT75" s="246">
        <f t="shared" si="88"/>
        <v>0</v>
      </c>
      <c r="AU75" s="246">
        <f t="shared" si="88"/>
        <v>0</v>
      </c>
      <c r="AV75" s="246">
        <f t="shared" si="88"/>
        <v>0</v>
      </c>
      <c r="AW75" s="246">
        <f t="shared" si="88"/>
        <v>0</v>
      </c>
      <c r="AX75" s="246">
        <f t="shared" si="88"/>
        <v>0</v>
      </c>
      <c r="AY75" s="246">
        <f t="shared" si="88"/>
        <v>0</v>
      </c>
      <c r="AZ75" s="246">
        <f t="shared" si="88"/>
        <v>0</v>
      </c>
      <c r="BA75" s="246">
        <f t="shared" si="88"/>
        <v>0</v>
      </c>
      <c r="BB75" s="246">
        <f t="shared" si="88"/>
        <v>0</v>
      </c>
      <c r="BC75" s="246">
        <f t="shared" si="88"/>
        <v>0</v>
      </c>
      <c r="BD75" s="246">
        <f t="shared" si="88"/>
        <v>0</v>
      </c>
      <c r="BE75" s="246">
        <f t="shared" si="88"/>
        <v>0</v>
      </c>
      <c r="BF75" s="246">
        <f t="shared" si="88"/>
        <v>0</v>
      </c>
      <c r="BG75" s="246">
        <f t="shared" si="88"/>
        <v>0</v>
      </c>
      <c r="BH75" s="246">
        <f t="shared" si="88"/>
        <v>0</v>
      </c>
      <c r="BI75" s="246">
        <f t="shared" si="88"/>
        <v>0</v>
      </c>
      <c r="BJ75" s="246">
        <f t="shared" si="88"/>
        <v>0</v>
      </c>
      <c r="BK75" s="246">
        <f t="shared" si="88"/>
        <v>0</v>
      </c>
      <c r="BL75" s="246">
        <f t="shared" si="88"/>
        <v>0</v>
      </c>
      <c r="BM75" s="246">
        <f t="shared" si="88"/>
        <v>0</v>
      </c>
      <c r="BN75" s="246">
        <f t="shared" si="88"/>
        <v>0</v>
      </c>
      <c r="BO75" s="246">
        <f t="shared" si="88"/>
        <v>0</v>
      </c>
      <c r="BP75" s="246">
        <f t="shared" si="88"/>
        <v>0</v>
      </c>
      <c r="BQ75" s="246">
        <f t="shared" si="88"/>
        <v>0</v>
      </c>
      <c r="BR75" s="246">
        <f t="shared" si="88"/>
        <v>0</v>
      </c>
      <c r="BS75" s="246">
        <f t="shared" si="88"/>
        <v>0</v>
      </c>
      <c r="BT75" s="246">
        <f t="shared" si="88"/>
        <v>0</v>
      </c>
      <c r="BU75" s="246">
        <f t="shared" si="88"/>
        <v>0</v>
      </c>
      <c r="BV75" s="246">
        <f t="shared" si="88"/>
        <v>0</v>
      </c>
      <c r="BW75" s="246">
        <f t="shared" si="88"/>
        <v>0</v>
      </c>
      <c r="BX75" s="246">
        <f t="shared" si="88"/>
        <v>0</v>
      </c>
      <c r="BY75" s="246">
        <f t="shared" si="88"/>
        <v>0</v>
      </c>
      <c r="BZ75" s="246">
        <f t="shared" si="88"/>
        <v>0</v>
      </c>
      <c r="CA75" s="246">
        <f t="shared" si="88"/>
        <v>0</v>
      </c>
      <c r="CB75" s="246">
        <f t="shared" si="88"/>
        <v>0</v>
      </c>
      <c r="CC75" s="246">
        <f t="shared" si="88"/>
        <v>0</v>
      </c>
      <c r="CD75" s="246">
        <f t="shared" si="88"/>
        <v>0</v>
      </c>
      <c r="CE75" s="246">
        <f t="shared" si="88"/>
        <v>0</v>
      </c>
      <c r="CF75" s="246">
        <f t="shared" si="88"/>
        <v>0</v>
      </c>
      <c r="CG75" s="246">
        <f t="shared" si="88"/>
        <v>0</v>
      </c>
      <c r="CH75" s="246">
        <f t="shared" ref="CH75:DB75" si="89">+(CG75+CH72)*CH155</f>
        <v>0</v>
      </c>
      <c r="CI75" s="246">
        <f t="shared" si="89"/>
        <v>0</v>
      </c>
      <c r="CJ75" s="246">
        <f t="shared" si="89"/>
        <v>0</v>
      </c>
      <c r="CK75" s="246">
        <f t="shared" si="89"/>
        <v>0</v>
      </c>
      <c r="CL75" s="246">
        <f t="shared" si="89"/>
        <v>0</v>
      </c>
      <c r="CM75" s="246">
        <f t="shared" si="89"/>
        <v>0</v>
      </c>
      <c r="CN75" s="246">
        <f t="shared" si="89"/>
        <v>0</v>
      </c>
      <c r="CO75" s="246">
        <f t="shared" si="89"/>
        <v>0</v>
      </c>
      <c r="CP75" s="246">
        <f t="shared" si="89"/>
        <v>0</v>
      </c>
      <c r="CQ75" s="246">
        <f t="shared" si="89"/>
        <v>0</v>
      </c>
      <c r="CR75" s="246">
        <f t="shared" si="89"/>
        <v>0</v>
      </c>
      <c r="CS75" s="246">
        <f t="shared" si="89"/>
        <v>0</v>
      </c>
      <c r="CT75" s="246">
        <f t="shared" si="89"/>
        <v>0</v>
      </c>
      <c r="CU75" s="246">
        <f t="shared" si="89"/>
        <v>0</v>
      </c>
      <c r="CV75" s="246">
        <f t="shared" si="89"/>
        <v>0</v>
      </c>
      <c r="CW75" s="246">
        <f t="shared" si="89"/>
        <v>0</v>
      </c>
      <c r="CX75" s="246">
        <f t="shared" si="89"/>
        <v>0</v>
      </c>
      <c r="CY75" s="246">
        <f t="shared" si="89"/>
        <v>0</v>
      </c>
      <c r="CZ75" s="246">
        <f t="shared" si="89"/>
        <v>0</v>
      </c>
      <c r="DA75" s="246">
        <f t="shared" si="89"/>
        <v>0</v>
      </c>
      <c r="DB75" s="246">
        <f t="shared" si="89"/>
        <v>0</v>
      </c>
      <c r="DC75" s="21" t="s">
        <v>11</v>
      </c>
    </row>
    <row r="76" spans="2:107">
      <c r="B76" s="9" t="s">
        <v>128</v>
      </c>
      <c r="D76" s="25">
        <f t="shared" si="86"/>
        <v>1409.1954687499999</v>
      </c>
      <c r="E76" s="25">
        <f>+E60</f>
        <v>180377.02</v>
      </c>
      <c r="F76" s="61">
        <f>+E76/$E$81</f>
        <v>0.17177569232280626</v>
      </c>
      <c r="I76" s="367"/>
      <c r="J76" s="232">
        <f t="shared" si="87"/>
        <v>778624</v>
      </c>
      <c r="K76" s="233">
        <f>+K75-50</f>
        <v>6083</v>
      </c>
      <c r="L76" s="61">
        <v>0.13585467934608461</v>
      </c>
      <c r="M76" s="247">
        <v>0.16177844405174255</v>
      </c>
      <c r="N76" s="248">
        <v>0.18800231814384458</v>
      </c>
      <c r="O76" s="249">
        <v>0.20565168261528016</v>
      </c>
      <c r="P76" s="61">
        <v>0.22343452572822572</v>
      </c>
      <c r="T76" s="250" t="s">
        <v>173</v>
      </c>
      <c r="U76" s="245">
        <f>+MIN(V76:DB76)</f>
        <v>-1048998.0199999998</v>
      </c>
      <c r="V76" s="251">
        <f>+IF(V75&lt;0,V75,0)</f>
        <v>0</v>
      </c>
      <c r="W76" s="251">
        <f>+IF(W75&lt;0,W75,0)</f>
        <v>-39450</v>
      </c>
      <c r="X76" s="251">
        <f t="shared" ref="X76:CI76" si="90">+IF(X75&lt;0,X75,0)</f>
        <v>-892272.16666666663</v>
      </c>
      <c r="Y76" s="251">
        <f t="shared" si="90"/>
        <v>-948951.33333333326</v>
      </c>
      <c r="Z76" s="251">
        <f t="shared" si="90"/>
        <v>-1013630.4999999999</v>
      </c>
      <c r="AA76" s="251">
        <f t="shared" si="90"/>
        <v>-1048039.6866666665</v>
      </c>
      <c r="AB76" s="251">
        <f t="shared" si="90"/>
        <v>-1048518.8533333332</v>
      </c>
      <c r="AC76" s="251">
        <f t="shared" si="90"/>
        <v>-1048998.0199999998</v>
      </c>
      <c r="AD76" s="251">
        <f t="shared" si="90"/>
        <v>0</v>
      </c>
      <c r="AE76" s="251">
        <f t="shared" si="90"/>
        <v>0</v>
      </c>
      <c r="AF76" s="251">
        <f t="shared" si="90"/>
        <v>0</v>
      </c>
      <c r="AG76" s="251">
        <f t="shared" si="90"/>
        <v>0</v>
      </c>
      <c r="AH76" s="251">
        <f t="shared" si="90"/>
        <v>0</v>
      </c>
      <c r="AI76" s="251">
        <f t="shared" si="90"/>
        <v>0</v>
      </c>
      <c r="AJ76" s="251">
        <f t="shared" si="90"/>
        <v>0</v>
      </c>
      <c r="AK76" s="251">
        <f t="shared" si="90"/>
        <v>0</v>
      </c>
      <c r="AL76" s="251">
        <f t="shared" si="90"/>
        <v>0</v>
      </c>
      <c r="AM76" s="251">
        <f t="shared" si="90"/>
        <v>0</v>
      </c>
      <c r="AN76" s="251">
        <f t="shared" si="90"/>
        <v>0</v>
      </c>
      <c r="AO76" s="251">
        <f t="shared" si="90"/>
        <v>0</v>
      </c>
      <c r="AP76" s="251">
        <f t="shared" si="90"/>
        <v>0</v>
      </c>
      <c r="AQ76" s="251">
        <f t="shared" si="90"/>
        <v>0</v>
      </c>
      <c r="AR76" s="251">
        <f t="shared" si="90"/>
        <v>0</v>
      </c>
      <c r="AS76" s="251">
        <f t="shared" si="90"/>
        <v>0</v>
      </c>
      <c r="AT76" s="251">
        <f t="shared" si="90"/>
        <v>0</v>
      </c>
      <c r="AU76" s="251">
        <f t="shared" si="90"/>
        <v>0</v>
      </c>
      <c r="AV76" s="251">
        <f t="shared" si="90"/>
        <v>0</v>
      </c>
      <c r="AW76" s="251">
        <f t="shared" si="90"/>
        <v>0</v>
      </c>
      <c r="AX76" s="251">
        <f t="shared" si="90"/>
        <v>0</v>
      </c>
      <c r="AY76" s="251">
        <f t="shared" si="90"/>
        <v>0</v>
      </c>
      <c r="AZ76" s="251">
        <f t="shared" si="90"/>
        <v>0</v>
      </c>
      <c r="BA76" s="251">
        <f t="shared" si="90"/>
        <v>0</v>
      </c>
      <c r="BB76" s="251">
        <f t="shared" si="90"/>
        <v>0</v>
      </c>
      <c r="BC76" s="251">
        <f t="shared" si="90"/>
        <v>0</v>
      </c>
      <c r="BD76" s="251">
        <f t="shared" si="90"/>
        <v>0</v>
      </c>
      <c r="BE76" s="251">
        <f t="shared" si="90"/>
        <v>0</v>
      </c>
      <c r="BF76" s="251">
        <f t="shared" si="90"/>
        <v>0</v>
      </c>
      <c r="BG76" s="251">
        <f t="shared" si="90"/>
        <v>0</v>
      </c>
      <c r="BH76" s="251">
        <f t="shared" si="90"/>
        <v>0</v>
      </c>
      <c r="BI76" s="251">
        <f t="shared" si="90"/>
        <v>0</v>
      </c>
      <c r="BJ76" s="251">
        <f t="shared" si="90"/>
        <v>0</v>
      </c>
      <c r="BK76" s="251">
        <f t="shared" si="90"/>
        <v>0</v>
      </c>
      <c r="BL76" s="251">
        <f t="shared" si="90"/>
        <v>0</v>
      </c>
      <c r="BM76" s="251">
        <f t="shared" si="90"/>
        <v>0</v>
      </c>
      <c r="BN76" s="251">
        <f t="shared" si="90"/>
        <v>0</v>
      </c>
      <c r="BO76" s="251">
        <f t="shared" si="90"/>
        <v>0</v>
      </c>
      <c r="BP76" s="251">
        <f t="shared" si="90"/>
        <v>0</v>
      </c>
      <c r="BQ76" s="251">
        <f t="shared" si="90"/>
        <v>0</v>
      </c>
      <c r="BR76" s="251">
        <f t="shared" si="90"/>
        <v>0</v>
      </c>
      <c r="BS76" s="251">
        <f t="shared" si="90"/>
        <v>0</v>
      </c>
      <c r="BT76" s="251">
        <f t="shared" si="90"/>
        <v>0</v>
      </c>
      <c r="BU76" s="251">
        <f t="shared" si="90"/>
        <v>0</v>
      </c>
      <c r="BV76" s="251">
        <f t="shared" si="90"/>
        <v>0</v>
      </c>
      <c r="BW76" s="251">
        <f t="shared" si="90"/>
        <v>0</v>
      </c>
      <c r="BX76" s="251">
        <f t="shared" si="90"/>
        <v>0</v>
      </c>
      <c r="BY76" s="251">
        <f t="shared" si="90"/>
        <v>0</v>
      </c>
      <c r="BZ76" s="251">
        <f t="shared" si="90"/>
        <v>0</v>
      </c>
      <c r="CA76" s="251">
        <f t="shared" si="90"/>
        <v>0</v>
      </c>
      <c r="CB76" s="251">
        <f t="shared" si="90"/>
        <v>0</v>
      </c>
      <c r="CC76" s="251">
        <f t="shared" si="90"/>
        <v>0</v>
      </c>
      <c r="CD76" s="251">
        <f t="shared" si="90"/>
        <v>0</v>
      </c>
      <c r="CE76" s="251">
        <f t="shared" si="90"/>
        <v>0</v>
      </c>
      <c r="CF76" s="251">
        <f t="shared" si="90"/>
        <v>0</v>
      </c>
      <c r="CG76" s="251">
        <f t="shared" si="90"/>
        <v>0</v>
      </c>
      <c r="CH76" s="251">
        <f t="shared" si="90"/>
        <v>0</v>
      </c>
      <c r="CI76" s="251">
        <f t="shared" si="90"/>
        <v>0</v>
      </c>
      <c r="CJ76" s="251">
        <f t="shared" ref="CJ76:DB76" si="91">+IF(CJ75&lt;0,CJ75,0)</f>
        <v>0</v>
      </c>
      <c r="CK76" s="251">
        <f t="shared" si="91"/>
        <v>0</v>
      </c>
      <c r="CL76" s="251">
        <f t="shared" si="91"/>
        <v>0</v>
      </c>
      <c r="CM76" s="251">
        <f t="shared" si="91"/>
        <v>0</v>
      </c>
      <c r="CN76" s="251">
        <f t="shared" si="91"/>
        <v>0</v>
      </c>
      <c r="CO76" s="251">
        <f t="shared" si="91"/>
        <v>0</v>
      </c>
      <c r="CP76" s="251">
        <f t="shared" si="91"/>
        <v>0</v>
      </c>
      <c r="CQ76" s="251">
        <f t="shared" si="91"/>
        <v>0</v>
      </c>
      <c r="CR76" s="251">
        <f t="shared" si="91"/>
        <v>0</v>
      </c>
      <c r="CS76" s="251">
        <f t="shared" si="91"/>
        <v>0</v>
      </c>
      <c r="CT76" s="251">
        <f t="shared" si="91"/>
        <v>0</v>
      </c>
      <c r="CU76" s="251">
        <f t="shared" si="91"/>
        <v>0</v>
      </c>
      <c r="CV76" s="251">
        <f t="shared" si="91"/>
        <v>0</v>
      </c>
      <c r="CW76" s="251">
        <f t="shared" si="91"/>
        <v>0</v>
      </c>
      <c r="CX76" s="251">
        <f t="shared" si="91"/>
        <v>0</v>
      </c>
      <c r="CY76" s="251">
        <f t="shared" si="91"/>
        <v>0</v>
      </c>
      <c r="CZ76" s="251">
        <f t="shared" si="91"/>
        <v>0</v>
      </c>
      <c r="DA76" s="251">
        <f t="shared" si="91"/>
        <v>0</v>
      </c>
      <c r="DB76" s="251">
        <f t="shared" si="91"/>
        <v>0</v>
      </c>
      <c r="DC76" s="21" t="s">
        <v>11</v>
      </c>
    </row>
    <row r="77" spans="2:107">
      <c r="B77" s="9" t="s">
        <v>154</v>
      </c>
      <c r="D77" s="25">
        <f t="shared" si="86"/>
        <v>23.4375</v>
      </c>
      <c r="E77" s="25">
        <f>+E62</f>
        <v>3000</v>
      </c>
      <c r="I77" s="367"/>
      <c r="J77" s="232">
        <f t="shared" si="87"/>
        <v>772224</v>
      </c>
      <c r="K77" s="233">
        <f>+K76-50</f>
        <v>6033</v>
      </c>
      <c r="L77" s="61">
        <v>0.14640548825263983</v>
      </c>
      <c r="M77" s="61">
        <v>0.17263881564140318</v>
      </c>
      <c r="N77" s="234">
        <v>0.19917666316032409</v>
      </c>
      <c r="O77" s="61">
        <v>0.21703781485557552</v>
      </c>
      <c r="P77" s="61">
        <v>0.23503440022468569</v>
      </c>
      <c r="T77" s="252" t="s">
        <v>174</v>
      </c>
      <c r="U77" s="253">
        <f>+SUM(V77:DB77)</f>
        <v>-6039860.5599999996</v>
      </c>
      <c r="V77" s="254">
        <f t="shared" ref="V77:CG77" si="92">+IF(V75&lt;0,V75,0)</f>
        <v>0</v>
      </c>
      <c r="W77" s="254">
        <f>+IF(W75&lt;0,W75,0)</f>
        <v>-39450</v>
      </c>
      <c r="X77" s="254">
        <f t="shared" si="92"/>
        <v>-892272.16666666663</v>
      </c>
      <c r="Y77" s="254">
        <f t="shared" si="92"/>
        <v>-948951.33333333326</v>
      </c>
      <c r="Z77" s="254">
        <f t="shared" si="92"/>
        <v>-1013630.4999999999</v>
      </c>
      <c r="AA77" s="254">
        <f t="shared" si="92"/>
        <v>-1048039.6866666665</v>
      </c>
      <c r="AB77" s="254">
        <f t="shared" si="92"/>
        <v>-1048518.8533333332</v>
      </c>
      <c r="AC77" s="254">
        <f t="shared" si="92"/>
        <v>-1048998.0199999998</v>
      </c>
      <c r="AD77" s="254">
        <f t="shared" si="92"/>
        <v>0</v>
      </c>
      <c r="AE77" s="254">
        <f t="shared" si="92"/>
        <v>0</v>
      </c>
      <c r="AF77" s="254">
        <f t="shared" si="92"/>
        <v>0</v>
      </c>
      <c r="AG77" s="254">
        <f t="shared" si="92"/>
        <v>0</v>
      </c>
      <c r="AH77" s="254">
        <f t="shared" si="92"/>
        <v>0</v>
      </c>
      <c r="AI77" s="254">
        <f t="shared" si="92"/>
        <v>0</v>
      </c>
      <c r="AJ77" s="254">
        <f t="shared" si="92"/>
        <v>0</v>
      </c>
      <c r="AK77" s="254">
        <f t="shared" si="92"/>
        <v>0</v>
      </c>
      <c r="AL77" s="254">
        <f t="shared" si="92"/>
        <v>0</v>
      </c>
      <c r="AM77" s="254">
        <f t="shared" si="92"/>
        <v>0</v>
      </c>
      <c r="AN77" s="254">
        <f t="shared" si="92"/>
        <v>0</v>
      </c>
      <c r="AO77" s="254">
        <f t="shared" si="92"/>
        <v>0</v>
      </c>
      <c r="AP77" s="254">
        <f t="shared" si="92"/>
        <v>0</v>
      </c>
      <c r="AQ77" s="254">
        <f t="shared" si="92"/>
        <v>0</v>
      </c>
      <c r="AR77" s="254">
        <f t="shared" si="92"/>
        <v>0</v>
      </c>
      <c r="AS77" s="254">
        <f t="shared" si="92"/>
        <v>0</v>
      </c>
      <c r="AT77" s="254">
        <f t="shared" si="92"/>
        <v>0</v>
      </c>
      <c r="AU77" s="254">
        <f t="shared" si="92"/>
        <v>0</v>
      </c>
      <c r="AV77" s="254">
        <f t="shared" si="92"/>
        <v>0</v>
      </c>
      <c r="AW77" s="254">
        <f t="shared" si="92"/>
        <v>0</v>
      </c>
      <c r="AX77" s="254">
        <f t="shared" si="92"/>
        <v>0</v>
      </c>
      <c r="AY77" s="254">
        <f t="shared" si="92"/>
        <v>0</v>
      </c>
      <c r="AZ77" s="254">
        <f t="shared" si="92"/>
        <v>0</v>
      </c>
      <c r="BA77" s="254">
        <f t="shared" si="92"/>
        <v>0</v>
      </c>
      <c r="BB77" s="254">
        <f t="shared" si="92"/>
        <v>0</v>
      </c>
      <c r="BC77" s="254">
        <f t="shared" si="92"/>
        <v>0</v>
      </c>
      <c r="BD77" s="254">
        <f t="shared" si="92"/>
        <v>0</v>
      </c>
      <c r="BE77" s="254">
        <f t="shared" si="92"/>
        <v>0</v>
      </c>
      <c r="BF77" s="254">
        <f t="shared" si="92"/>
        <v>0</v>
      </c>
      <c r="BG77" s="254">
        <f t="shared" si="92"/>
        <v>0</v>
      </c>
      <c r="BH77" s="254">
        <f t="shared" si="92"/>
        <v>0</v>
      </c>
      <c r="BI77" s="254">
        <f t="shared" si="92"/>
        <v>0</v>
      </c>
      <c r="BJ77" s="254">
        <f t="shared" si="92"/>
        <v>0</v>
      </c>
      <c r="BK77" s="254">
        <f t="shared" si="92"/>
        <v>0</v>
      </c>
      <c r="BL77" s="254">
        <f t="shared" si="92"/>
        <v>0</v>
      </c>
      <c r="BM77" s="254">
        <f t="shared" si="92"/>
        <v>0</v>
      </c>
      <c r="BN77" s="254">
        <f t="shared" si="92"/>
        <v>0</v>
      </c>
      <c r="BO77" s="254">
        <f t="shared" si="92"/>
        <v>0</v>
      </c>
      <c r="BP77" s="254">
        <f t="shared" si="92"/>
        <v>0</v>
      </c>
      <c r="BQ77" s="254">
        <f t="shared" si="92"/>
        <v>0</v>
      </c>
      <c r="BR77" s="254">
        <f t="shared" si="92"/>
        <v>0</v>
      </c>
      <c r="BS77" s="254">
        <f t="shared" si="92"/>
        <v>0</v>
      </c>
      <c r="BT77" s="254">
        <f t="shared" si="92"/>
        <v>0</v>
      </c>
      <c r="BU77" s="254">
        <f t="shared" si="92"/>
        <v>0</v>
      </c>
      <c r="BV77" s="254">
        <f t="shared" si="92"/>
        <v>0</v>
      </c>
      <c r="BW77" s="254">
        <f t="shared" si="92"/>
        <v>0</v>
      </c>
      <c r="BX77" s="254">
        <f t="shared" si="92"/>
        <v>0</v>
      </c>
      <c r="BY77" s="254">
        <f t="shared" si="92"/>
        <v>0</v>
      </c>
      <c r="BZ77" s="254">
        <f t="shared" si="92"/>
        <v>0</v>
      </c>
      <c r="CA77" s="254">
        <f t="shared" si="92"/>
        <v>0</v>
      </c>
      <c r="CB77" s="254">
        <f t="shared" si="92"/>
        <v>0</v>
      </c>
      <c r="CC77" s="254">
        <f t="shared" si="92"/>
        <v>0</v>
      </c>
      <c r="CD77" s="254">
        <f t="shared" si="92"/>
        <v>0</v>
      </c>
      <c r="CE77" s="254">
        <f t="shared" si="92"/>
        <v>0</v>
      </c>
      <c r="CF77" s="254">
        <f t="shared" si="92"/>
        <v>0</v>
      </c>
      <c r="CG77" s="254">
        <f t="shared" si="92"/>
        <v>0</v>
      </c>
      <c r="CH77" s="254">
        <f t="shared" ref="CH77:DB77" si="93">+IF(CH75&lt;0,CH75,0)</f>
        <v>0</v>
      </c>
      <c r="CI77" s="254">
        <f t="shared" si="93"/>
        <v>0</v>
      </c>
      <c r="CJ77" s="254">
        <f t="shared" si="93"/>
        <v>0</v>
      </c>
      <c r="CK77" s="254">
        <f t="shared" si="93"/>
        <v>0</v>
      </c>
      <c r="CL77" s="254">
        <f t="shared" si="93"/>
        <v>0</v>
      </c>
      <c r="CM77" s="254">
        <f t="shared" si="93"/>
        <v>0</v>
      </c>
      <c r="CN77" s="254">
        <f t="shared" si="93"/>
        <v>0</v>
      </c>
      <c r="CO77" s="254">
        <f t="shared" si="93"/>
        <v>0</v>
      </c>
      <c r="CP77" s="254">
        <f t="shared" si="93"/>
        <v>0</v>
      </c>
      <c r="CQ77" s="254">
        <f t="shared" si="93"/>
        <v>0</v>
      </c>
      <c r="CR77" s="254">
        <f t="shared" si="93"/>
        <v>0</v>
      </c>
      <c r="CS77" s="254">
        <f t="shared" si="93"/>
        <v>0</v>
      </c>
      <c r="CT77" s="254">
        <f t="shared" si="93"/>
        <v>0</v>
      </c>
      <c r="CU77" s="254">
        <f t="shared" si="93"/>
        <v>0</v>
      </c>
      <c r="CV77" s="254">
        <f t="shared" si="93"/>
        <v>0</v>
      </c>
      <c r="CW77" s="254">
        <f t="shared" si="93"/>
        <v>0</v>
      </c>
      <c r="CX77" s="254">
        <f t="shared" si="93"/>
        <v>0</v>
      </c>
      <c r="CY77" s="254">
        <f t="shared" si="93"/>
        <v>0</v>
      </c>
      <c r="CZ77" s="254">
        <f t="shared" si="93"/>
        <v>0</v>
      </c>
      <c r="DA77" s="254">
        <f t="shared" si="93"/>
        <v>0</v>
      </c>
      <c r="DB77" s="254">
        <f t="shared" si="93"/>
        <v>0</v>
      </c>
      <c r="DC77" s="21" t="s">
        <v>11</v>
      </c>
    </row>
    <row r="78" spans="2:107" ht="14.85" customHeight="1">
      <c r="B78" s="9" t="s">
        <v>175</v>
      </c>
      <c r="D78" s="25">
        <f t="shared" si="86"/>
        <v>12.5</v>
      </c>
      <c r="E78" s="25">
        <f>+E63+E64</f>
        <v>1600</v>
      </c>
      <c r="F78" s="61">
        <f>+E78/$E$81</f>
        <v>1.5237035611104454E-3</v>
      </c>
      <c r="I78" s="21"/>
      <c r="L78" s="61"/>
      <c r="M78" s="61"/>
      <c r="N78" s="61"/>
      <c r="O78" s="61"/>
      <c r="P78" s="61"/>
      <c r="S78" s="255"/>
      <c r="T78" s="252" t="s">
        <v>176</v>
      </c>
      <c r="U78" s="253">
        <f>+SUM(V78:DB78)</f>
        <v>-1048998.0199999998</v>
      </c>
      <c r="V78" s="254">
        <f t="shared" ref="V78:CG78" si="94">+IF(V52&lt;0,V52,0)</f>
        <v>0</v>
      </c>
      <c r="W78" s="254">
        <f t="shared" si="94"/>
        <v>-39450</v>
      </c>
      <c r="X78" s="254">
        <f t="shared" si="94"/>
        <v>-852822.16666666663</v>
      </c>
      <c r="Y78" s="254">
        <f t="shared" si="94"/>
        <v>-56679.166666666664</v>
      </c>
      <c r="Z78" s="254">
        <f t="shared" si="94"/>
        <v>-64679.166666666664</v>
      </c>
      <c r="AA78" s="254">
        <f t="shared" si="94"/>
        <v>-34409.186666666668</v>
      </c>
      <c r="AB78" s="254">
        <f t="shared" si="94"/>
        <v>-479.16666666666669</v>
      </c>
      <c r="AC78" s="254">
        <f t="shared" si="94"/>
        <v>-479.16666666666669</v>
      </c>
      <c r="AD78" s="254">
        <f t="shared" si="94"/>
        <v>0</v>
      </c>
      <c r="AE78" s="254">
        <f t="shared" si="94"/>
        <v>0</v>
      </c>
      <c r="AF78" s="254">
        <f t="shared" si="94"/>
        <v>0</v>
      </c>
      <c r="AG78" s="254">
        <f t="shared" si="94"/>
        <v>0</v>
      </c>
      <c r="AH78" s="254">
        <f t="shared" si="94"/>
        <v>0</v>
      </c>
      <c r="AI78" s="254">
        <f t="shared" si="94"/>
        <v>0</v>
      </c>
      <c r="AJ78" s="254">
        <f t="shared" si="94"/>
        <v>0</v>
      </c>
      <c r="AK78" s="254">
        <f t="shared" si="94"/>
        <v>0</v>
      </c>
      <c r="AL78" s="254">
        <f t="shared" si="94"/>
        <v>0</v>
      </c>
      <c r="AM78" s="254">
        <f t="shared" si="94"/>
        <v>0</v>
      </c>
      <c r="AN78" s="254">
        <f t="shared" si="94"/>
        <v>0</v>
      </c>
      <c r="AO78" s="254">
        <f t="shared" si="94"/>
        <v>0</v>
      </c>
      <c r="AP78" s="254">
        <f t="shared" si="94"/>
        <v>0</v>
      </c>
      <c r="AQ78" s="254">
        <f t="shared" si="94"/>
        <v>0</v>
      </c>
      <c r="AR78" s="254">
        <f t="shared" si="94"/>
        <v>0</v>
      </c>
      <c r="AS78" s="254">
        <f t="shared" si="94"/>
        <v>0</v>
      </c>
      <c r="AT78" s="254">
        <f t="shared" si="94"/>
        <v>0</v>
      </c>
      <c r="AU78" s="254">
        <f t="shared" si="94"/>
        <v>0</v>
      </c>
      <c r="AV78" s="254">
        <f t="shared" si="94"/>
        <v>0</v>
      </c>
      <c r="AW78" s="254">
        <f t="shared" si="94"/>
        <v>0</v>
      </c>
      <c r="AX78" s="254">
        <f t="shared" si="94"/>
        <v>0</v>
      </c>
      <c r="AY78" s="254">
        <f t="shared" si="94"/>
        <v>0</v>
      </c>
      <c r="AZ78" s="254">
        <f t="shared" si="94"/>
        <v>0</v>
      </c>
      <c r="BA78" s="254">
        <f t="shared" si="94"/>
        <v>0</v>
      </c>
      <c r="BB78" s="254">
        <f t="shared" si="94"/>
        <v>0</v>
      </c>
      <c r="BC78" s="254">
        <f t="shared" si="94"/>
        <v>0</v>
      </c>
      <c r="BD78" s="254">
        <f t="shared" si="94"/>
        <v>0</v>
      </c>
      <c r="BE78" s="254">
        <f t="shared" si="94"/>
        <v>0</v>
      </c>
      <c r="BF78" s="254">
        <f t="shared" si="94"/>
        <v>0</v>
      </c>
      <c r="BG78" s="254">
        <f t="shared" si="94"/>
        <v>0</v>
      </c>
      <c r="BH78" s="254">
        <f t="shared" si="94"/>
        <v>0</v>
      </c>
      <c r="BI78" s="254">
        <f t="shared" si="94"/>
        <v>0</v>
      </c>
      <c r="BJ78" s="254">
        <f t="shared" si="94"/>
        <v>0</v>
      </c>
      <c r="BK78" s="254">
        <f t="shared" si="94"/>
        <v>0</v>
      </c>
      <c r="BL78" s="254">
        <f t="shared" si="94"/>
        <v>0</v>
      </c>
      <c r="BM78" s="254">
        <f t="shared" si="94"/>
        <v>0</v>
      </c>
      <c r="BN78" s="254">
        <f t="shared" si="94"/>
        <v>0</v>
      </c>
      <c r="BO78" s="254">
        <f t="shared" si="94"/>
        <v>0</v>
      </c>
      <c r="BP78" s="254">
        <f t="shared" si="94"/>
        <v>0</v>
      </c>
      <c r="BQ78" s="254">
        <f t="shared" si="94"/>
        <v>0</v>
      </c>
      <c r="BR78" s="254">
        <f t="shared" si="94"/>
        <v>0</v>
      </c>
      <c r="BS78" s="254">
        <f t="shared" si="94"/>
        <v>0</v>
      </c>
      <c r="BT78" s="254">
        <f t="shared" si="94"/>
        <v>0</v>
      </c>
      <c r="BU78" s="254">
        <f t="shared" si="94"/>
        <v>0</v>
      </c>
      <c r="BV78" s="254">
        <f t="shared" si="94"/>
        <v>0</v>
      </c>
      <c r="BW78" s="254">
        <f t="shared" si="94"/>
        <v>0</v>
      </c>
      <c r="BX78" s="254">
        <f t="shared" si="94"/>
        <v>0</v>
      </c>
      <c r="BY78" s="254">
        <f t="shared" si="94"/>
        <v>0</v>
      </c>
      <c r="BZ78" s="254">
        <f t="shared" si="94"/>
        <v>0</v>
      </c>
      <c r="CA78" s="254">
        <f t="shared" si="94"/>
        <v>0</v>
      </c>
      <c r="CB78" s="254">
        <f t="shared" si="94"/>
        <v>0</v>
      </c>
      <c r="CC78" s="254">
        <f t="shared" si="94"/>
        <v>0</v>
      </c>
      <c r="CD78" s="254">
        <f t="shared" si="94"/>
        <v>0</v>
      </c>
      <c r="CE78" s="254">
        <f t="shared" si="94"/>
        <v>0</v>
      </c>
      <c r="CF78" s="254">
        <f t="shared" si="94"/>
        <v>0</v>
      </c>
      <c r="CG78" s="254">
        <f t="shared" si="94"/>
        <v>0</v>
      </c>
      <c r="CH78" s="254">
        <f t="shared" ref="CH78:DB78" si="95">+IF(CH52&lt;0,CH52,0)</f>
        <v>0</v>
      </c>
      <c r="CI78" s="254">
        <f t="shared" si="95"/>
        <v>0</v>
      </c>
      <c r="CJ78" s="254">
        <f t="shared" si="95"/>
        <v>0</v>
      </c>
      <c r="CK78" s="254">
        <f t="shared" si="95"/>
        <v>0</v>
      </c>
      <c r="CL78" s="254">
        <f t="shared" si="95"/>
        <v>0</v>
      </c>
      <c r="CM78" s="254">
        <f t="shared" si="95"/>
        <v>0</v>
      </c>
      <c r="CN78" s="254">
        <f t="shared" si="95"/>
        <v>0</v>
      </c>
      <c r="CO78" s="254">
        <f t="shared" si="95"/>
        <v>0</v>
      </c>
      <c r="CP78" s="254">
        <f t="shared" si="95"/>
        <v>0</v>
      </c>
      <c r="CQ78" s="254">
        <f t="shared" si="95"/>
        <v>0</v>
      </c>
      <c r="CR78" s="254">
        <f t="shared" si="95"/>
        <v>0</v>
      </c>
      <c r="CS78" s="254">
        <f t="shared" si="95"/>
        <v>0</v>
      </c>
      <c r="CT78" s="254">
        <f t="shared" si="95"/>
        <v>0</v>
      </c>
      <c r="CU78" s="254">
        <f t="shared" si="95"/>
        <v>0</v>
      </c>
      <c r="CV78" s="254">
        <f t="shared" si="95"/>
        <v>0</v>
      </c>
      <c r="CW78" s="254">
        <f t="shared" si="95"/>
        <v>0</v>
      </c>
      <c r="CX78" s="254">
        <f t="shared" si="95"/>
        <v>0</v>
      </c>
      <c r="CY78" s="254">
        <f t="shared" si="95"/>
        <v>0</v>
      </c>
      <c r="CZ78" s="254">
        <f t="shared" si="95"/>
        <v>0</v>
      </c>
      <c r="DA78" s="254">
        <f t="shared" si="95"/>
        <v>0</v>
      </c>
      <c r="DB78" s="254">
        <f t="shared" si="95"/>
        <v>0</v>
      </c>
      <c r="DC78" s="21" t="s">
        <v>11</v>
      </c>
    </row>
    <row r="79" spans="2:107">
      <c r="B79" s="86" t="s">
        <v>177</v>
      </c>
      <c r="C79" s="7"/>
      <c r="D79" s="87">
        <f>+SUM(D73:D78)</f>
        <v>8203.6954687500001</v>
      </c>
      <c r="E79" s="87">
        <f>+SUM(E73:E78)</f>
        <v>1050073.02</v>
      </c>
      <c r="F79" s="85">
        <f>+E79/E81</f>
        <v>1</v>
      </c>
      <c r="I79" s="21"/>
      <c r="S79" s="255"/>
      <c r="T79" s="252" t="s">
        <v>178</v>
      </c>
      <c r="U79" s="253">
        <f>+SUM(V79:DB79)</f>
        <v>1123532.2499999998</v>
      </c>
      <c r="V79" s="254">
        <f t="shared" ref="V79:CG79" si="96">+IF(V72&gt;=0,V72,0)</f>
        <v>0</v>
      </c>
      <c r="W79" s="254">
        <f t="shared" si="96"/>
        <v>0</v>
      </c>
      <c r="X79" s="254">
        <f t="shared" si="96"/>
        <v>0</v>
      </c>
      <c r="Y79" s="254">
        <f t="shared" si="96"/>
        <v>0</v>
      </c>
      <c r="Z79" s="254">
        <f t="shared" si="96"/>
        <v>0</v>
      </c>
      <c r="AA79" s="254">
        <f t="shared" si="96"/>
        <v>0</v>
      </c>
      <c r="AB79" s="254">
        <f t="shared" si="96"/>
        <v>0</v>
      </c>
      <c r="AC79" s="254">
        <f t="shared" si="96"/>
        <v>0</v>
      </c>
      <c r="AD79" s="254">
        <f t="shared" si="96"/>
        <v>1123532.2499999998</v>
      </c>
      <c r="AE79" s="254">
        <f t="shared" si="96"/>
        <v>0</v>
      </c>
      <c r="AF79" s="254">
        <f t="shared" si="96"/>
        <v>0</v>
      </c>
      <c r="AG79" s="254">
        <f t="shared" si="96"/>
        <v>0</v>
      </c>
      <c r="AH79" s="254">
        <f t="shared" si="96"/>
        <v>0</v>
      </c>
      <c r="AI79" s="254">
        <f t="shared" si="96"/>
        <v>0</v>
      </c>
      <c r="AJ79" s="254">
        <f t="shared" si="96"/>
        <v>0</v>
      </c>
      <c r="AK79" s="254">
        <f t="shared" si="96"/>
        <v>0</v>
      </c>
      <c r="AL79" s="254">
        <f t="shared" si="96"/>
        <v>0</v>
      </c>
      <c r="AM79" s="254">
        <f t="shared" si="96"/>
        <v>0</v>
      </c>
      <c r="AN79" s="254">
        <f t="shared" si="96"/>
        <v>0</v>
      </c>
      <c r="AO79" s="254">
        <f t="shared" si="96"/>
        <v>0</v>
      </c>
      <c r="AP79" s="254">
        <f t="shared" si="96"/>
        <v>0</v>
      </c>
      <c r="AQ79" s="254">
        <f t="shared" si="96"/>
        <v>0</v>
      </c>
      <c r="AR79" s="254">
        <f t="shared" si="96"/>
        <v>0</v>
      </c>
      <c r="AS79" s="254">
        <f t="shared" si="96"/>
        <v>0</v>
      </c>
      <c r="AT79" s="254">
        <f t="shared" si="96"/>
        <v>0</v>
      </c>
      <c r="AU79" s="254">
        <f t="shared" si="96"/>
        <v>0</v>
      </c>
      <c r="AV79" s="254">
        <f t="shared" si="96"/>
        <v>0</v>
      </c>
      <c r="AW79" s="254">
        <f t="shared" si="96"/>
        <v>0</v>
      </c>
      <c r="AX79" s="254">
        <f t="shared" si="96"/>
        <v>0</v>
      </c>
      <c r="AY79" s="254">
        <f t="shared" si="96"/>
        <v>0</v>
      </c>
      <c r="AZ79" s="254">
        <f t="shared" si="96"/>
        <v>0</v>
      </c>
      <c r="BA79" s="254">
        <f t="shared" si="96"/>
        <v>0</v>
      </c>
      <c r="BB79" s="254">
        <f t="shared" si="96"/>
        <v>0</v>
      </c>
      <c r="BC79" s="254">
        <f t="shared" si="96"/>
        <v>0</v>
      </c>
      <c r="BD79" s="254">
        <f t="shared" si="96"/>
        <v>0</v>
      </c>
      <c r="BE79" s="254">
        <f t="shared" si="96"/>
        <v>0</v>
      </c>
      <c r="BF79" s="254">
        <f t="shared" si="96"/>
        <v>0</v>
      </c>
      <c r="BG79" s="254">
        <f t="shared" si="96"/>
        <v>0</v>
      </c>
      <c r="BH79" s="254">
        <f t="shared" si="96"/>
        <v>0</v>
      </c>
      <c r="BI79" s="254">
        <f t="shared" si="96"/>
        <v>0</v>
      </c>
      <c r="BJ79" s="254">
        <f t="shared" si="96"/>
        <v>0</v>
      </c>
      <c r="BK79" s="254">
        <f t="shared" si="96"/>
        <v>0</v>
      </c>
      <c r="BL79" s="254">
        <f t="shared" si="96"/>
        <v>0</v>
      </c>
      <c r="BM79" s="254">
        <f t="shared" si="96"/>
        <v>0</v>
      </c>
      <c r="BN79" s="254">
        <f t="shared" si="96"/>
        <v>0</v>
      </c>
      <c r="BO79" s="254">
        <f t="shared" si="96"/>
        <v>0</v>
      </c>
      <c r="BP79" s="254">
        <f t="shared" si="96"/>
        <v>0</v>
      </c>
      <c r="BQ79" s="254">
        <f t="shared" si="96"/>
        <v>0</v>
      </c>
      <c r="BR79" s="254">
        <f t="shared" si="96"/>
        <v>0</v>
      </c>
      <c r="BS79" s="254">
        <f t="shared" si="96"/>
        <v>0</v>
      </c>
      <c r="BT79" s="254">
        <f t="shared" si="96"/>
        <v>0</v>
      </c>
      <c r="BU79" s="254">
        <f t="shared" si="96"/>
        <v>0</v>
      </c>
      <c r="BV79" s="254">
        <f t="shared" si="96"/>
        <v>0</v>
      </c>
      <c r="BW79" s="254">
        <f t="shared" si="96"/>
        <v>0</v>
      </c>
      <c r="BX79" s="254">
        <f t="shared" si="96"/>
        <v>0</v>
      </c>
      <c r="BY79" s="254">
        <f t="shared" si="96"/>
        <v>0</v>
      </c>
      <c r="BZ79" s="254">
        <f t="shared" si="96"/>
        <v>0</v>
      </c>
      <c r="CA79" s="254">
        <f t="shared" si="96"/>
        <v>0</v>
      </c>
      <c r="CB79" s="254">
        <f t="shared" si="96"/>
        <v>0</v>
      </c>
      <c r="CC79" s="254">
        <f t="shared" si="96"/>
        <v>0</v>
      </c>
      <c r="CD79" s="254">
        <f t="shared" si="96"/>
        <v>0</v>
      </c>
      <c r="CE79" s="254">
        <f t="shared" si="96"/>
        <v>0</v>
      </c>
      <c r="CF79" s="254">
        <f t="shared" si="96"/>
        <v>0</v>
      </c>
      <c r="CG79" s="254">
        <f t="shared" si="96"/>
        <v>0</v>
      </c>
      <c r="CH79" s="254">
        <f t="shared" ref="CH79:DB79" si="97">+IF(CH72&gt;=0,CH72,0)</f>
        <v>0</v>
      </c>
      <c r="CI79" s="254">
        <f t="shared" si="97"/>
        <v>0</v>
      </c>
      <c r="CJ79" s="254">
        <f t="shared" si="97"/>
        <v>0</v>
      </c>
      <c r="CK79" s="254">
        <f t="shared" si="97"/>
        <v>0</v>
      </c>
      <c r="CL79" s="254">
        <f t="shared" si="97"/>
        <v>0</v>
      </c>
      <c r="CM79" s="254">
        <f t="shared" si="97"/>
        <v>0</v>
      </c>
      <c r="CN79" s="254">
        <f t="shared" si="97"/>
        <v>0</v>
      </c>
      <c r="CO79" s="254">
        <f t="shared" si="97"/>
        <v>0</v>
      </c>
      <c r="CP79" s="254">
        <f t="shared" si="97"/>
        <v>0</v>
      </c>
      <c r="CQ79" s="254">
        <f t="shared" si="97"/>
        <v>0</v>
      </c>
      <c r="CR79" s="254">
        <f t="shared" si="97"/>
        <v>0</v>
      </c>
      <c r="CS79" s="254">
        <f t="shared" si="97"/>
        <v>0</v>
      </c>
      <c r="CT79" s="254">
        <f t="shared" si="97"/>
        <v>0</v>
      </c>
      <c r="CU79" s="254">
        <f t="shared" si="97"/>
        <v>0</v>
      </c>
      <c r="CV79" s="254">
        <f t="shared" si="97"/>
        <v>0</v>
      </c>
      <c r="CW79" s="254">
        <f t="shared" si="97"/>
        <v>0</v>
      </c>
      <c r="CX79" s="254">
        <f t="shared" si="97"/>
        <v>0</v>
      </c>
      <c r="CY79" s="254">
        <f t="shared" si="97"/>
        <v>0</v>
      </c>
      <c r="CZ79" s="254">
        <f t="shared" si="97"/>
        <v>0</v>
      </c>
      <c r="DA79" s="254">
        <f t="shared" si="97"/>
        <v>0</v>
      </c>
      <c r="DB79" s="254">
        <f t="shared" si="97"/>
        <v>0</v>
      </c>
      <c r="DC79" s="21" t="s">
        <v>11</v>
      </c>
    </row>
    <row r="80" spans="2:107" ht="14.85" customHeight="1">
      <c r="B80" s="9" t="s">
        <v>160</v>
      </c>
      <c r="C80" s="31"/>
      <c r="D80" s="25">
        <f>+E80/$D$22</f>
        <v>0</v>
      </c>
      <c r="E80" s="25">
        <f>+E67</f>
        <v>0</v>
      </c>
      <c r="F80" s="61">
        <f>+E80/$E$81</f>
        <v>0</v>
      </c>
      <c r="I80" s="21"/>
      <c r="L80" s="366" t="s">
        <v>179</v>
      </c>
      <c r="M80" s="366"/>
      <c r="N80" s="366"/>
      <c r="O80" s="366"/>
      <c r="P80" s="366"/>
      <c r="S80" s="255"/>
      <c r="T80" s="252" t="s">
        <v>180</v>
      </c>
      <c r="U80" s="256">
        <f>+-U79/U78</f>
        <v>1.0710527842559703</v>
      </c>
      <c r="V80" s="251"/>
      <c r="W80" s="251"/>
      <c r="X80" s="251"/>
      <c r="Y80" s="251"/>
      <c r="Z80" s="251"/>
      <c r="AA80" s="251"/>
      <c r="AB80" s="251"/>
      <c r="AC80" s="251"/>
      <c r="AD80" s="251"/>
      <c r="AE80" s="251"/>
      <c r="AF80" s="251"/>
      <c r="AG80" s="251"/>
      <c r="AH80" s="251"/>
      <c r="AI80" s="251"/>
      <c r="AJ80" s="251"/>
      <c r="AK80" s="251"/>
      <c r="AL80" s="251"/>
      <c r="AM80" s="251"/>
      <c r="AN80" s="251"/>
      <c r="AO80" s="251"/>
      <c r="AP80" s="251"/>
      <c r="AQ80" s="251"/>
      <c r="AR80" s="251"/>
      <c r="AS80" s="251"/>
      <c r="AT80" s="251"/>
      <c r="AU80" s="251"/>
      <c r="AV80" s="251"/>
      <c r="AW80" s="251"/>
      <c r="AX80" s="251"/>
      <c r="AY80" s="251"/>
      <c r="AZ80" s="251"/>
      <c r="BA80" s="251"/>
      <c r="BB80" s="251"/>
      <c r="BC80" s="251"/>
      <c r="BD80" s="251"/>
      <c r="BE80" s="251"/>
      <c r="BF80" s="251"/>
      <c r="BG80" s="251"/>
      <c r="BH80" s="251"/>
      <c r="BI80" s="251"/>
      <c r="BJ80" s="251"/>
      <c r="BK80" s="251"/>
      <c r="BL80" s="251"/>
      <c r="BM80" s="251"/>
      <c r="BN80" s="251"/>
      <c r="BO80" s="251"/>
      <c r="BP80" s="251"/>
      <c r="BQ80" s="251"/>
      <c r="BR80" s="251"/>
      <c r="BS80" s="251"/>
      <c r="BT80" s="251"/>
      <c r="BU80" s="251"/>
      <c r="BV80" s="251"/>
      <c r="BW80" s="251"/>
      <c r="BX80" s="251"/>
      <c r="BY80" s="251"/>
      <c r="BZ80" s="251"/>
      <c r="CA80" s="251"/>
      <c r="CB80" s="251"/>
      <c r="CC80" s="251"/>
      <c r="CD80" s="251"/>
      <c r="CE80" s="251"/>
      <c r="CF80" s="251"/>
      <c r="CG80" s="251"/>
      <c r="CH80" s="251"/>
      <c r="CI80" s="251"/>
      <c r="CJ80" s="251"/>
      <c r="CK80" s="251"/>
      <c r="CL80" s="251"/>
      <c r="CM80" s="251"/>
      <c r="CN80" s="251"/>
      <c r="CO80" s="251"/>
      <c r="CP80" s="251"/>
      <c r="CQ80" s="251"/>
      <c r="CR80" s="251"/>
      <c r="CS80" s="251"/>
      <c r="CT80" s="251"/>
      <c r="CU80" s="251"/>
      <c r="CV80" s="251"/>
      <c r="CW80" s="251"/>
      <c r="CX80" s="251"/>
      <c r="CY80" s="251"/>
      <c r="CZ80" s="251"/>
      <c r="DA80" s="251"/>
      <c r="DB80" s="251"/>
      <c r="DC80" s="21" t="s">
        <v>11</v>
      </c>
    </row>
    <row r="81" spans="2:107">
      <c r="B81" s="86" t="s">
        <v>181</v>
      </c>
      <c r="D81" s="87">
        <f>+D79+D80</f>
        <v>8203.6954687500001</v>
      </c>
      <c r="E81" s="87">
        <f>+E79+E80</f>
        <v>1050073.02</v>
      </c>
      <c r="F81" s="257">
        <f>+F79+F80</f>
        <v>1</v>
      </c>
      <c r="I81" s="21"/>
      <c r="J81" s="228" t="s">
        <v>101</v>
      </c>
      <c r="K81" s="74"/>
      <c r="L81" s="73">
        <f>+L82+5</f>
        <v>10</v>
      </c>
      <c r="M81" s="73">
        <f>+M82+5</f>
        <v>9</v>
      </c>
      <c r="N81" s="73">
        <f>+N82+5</f>
        <v>8</v>
      </c>
      <c r="O81" s="73">
        <f t="shared" ref="O81:P81" si="98">+O82+5</f>
        <v>7</v>
      </c>
      <c r="P81" s="73">
        <f t="shared" si="98"/>
        <v>6</v>
      </c>
      <c r="S81" s="255"/>
      <c r="U81" s="58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  <c r="BA81" s="59"/>
      <c r="BB81" s="59"/>
      <c r="BC81" s="59"/>
      <c r="BD81" s="59"/>
      <c r="BE81" s="59"/>
      <c r="BF81" s="59"/>
      <c r="BG81" s="59"/>
      <c r="BH81" s="59"/>
      <c r="BI81" s="59"/>
      <c r="BJ81" s="59"/>
      <c r="BK81" s="59"/>
      <c r="BL81" s="59"/>
      <c r="BM81" s="59"/>
      <c r="BN81" s="59"/>
      <c r="BO81" s="59"/>
      <c r="BP81" s="59"/>
      <c r="BQ81" s="59"/>
      <c r="BR81" s="59"/>
      <c r="BS81" s="59"/>
      <c r="BT81" s="59"/>
      <c r="BU81" s="59"/>
      <c r="BV81" s="59"/>
      <c r="BW81" s="59"/>
      <c r="BX81" s="59"/>
      <c r="BY81" s="59"/>
      <c r="BZ81" s="59"/>
      <c r="CA81" s="59"/>
      <c r="CB81" s="59"/>
      <c r="CC81" s="59"/>
      <c r="CD81" s="59"/>
      <c r="CE81" s="59"/>
      <c r="CF81" s="59"/>
      <c r="CG81" s="59"/>
      <c r="CH81" s="59"/>
      <c r="CI81" s="59"/>
      <c r="CJ81" s="59"/>
      <c r="CK81" s="59"/>
      <c r="CL81" s="59"/>
      <c r="CM81" s="59"/>
      <c r="CN81" s="59"/>
      <c r="CO81" s="59"/>
      <c r="CP81" s="59"/>
      <c r="CQ81" s="59"/>
      <c r="CR81" s="59"/>
      <c r="CS81" s="59"/>
      <c r="CT81" s="59"/>
      <c r="CU81" s="59"/>
      <c r="CV81" s="59"/>
      <c r="CW81" s="59"/>
      <c r="CX81" s="59"/>
      <c r="CY81" s="59"/>
      <c r="CZ81" s="59"/>
      <c r="DA81" s="59"/>
      <c r="DB81" s="59"/>
      <c r="DC81" s="21" t="s">
        <v>11</v>
      </c>
    </row>
    <row r="82" spans="2:107">
      <c r="I82" s="367" t="s">
        <v>182</v>
      </c>
      <c r="J82" s="48"/>
      <c r="K82" s="229">
        <f>+$P$42</f>
        <v>0.1770785629749298</v>
      </c>
      <c r="L82" s="56">
        <v>5</v>
      </c>
      <c r="M82" s="56">
        <v>4</v>
      </c>
      <c r="N82" s="230">
        <v>3</v>
      </c>
      <c r="O82" s="56">
        <v>2</v>
      </c>
      <c r="P82" s="56">
        <v>1</v>
      </c>
      <c r="S82" s="255"/>
      <c r="T82" s="258" t="s">
        <v>183</v>
      </c>
      <c r="U82" s="259"/>
      <c r="V82" s="260"/>
      <c r="W82" s="260"/>
      <c r="X82" s="261"/>
      <c r="Y82" s="261"/>
      <c r="Z82" s="261"/>
      <c r="AA82" s="261"/>
      <c r="AB82" s="261"/>
      <c r="AC82" s="261"/>
      <c r="AD82" s="261"/>
      <c r="AE82" s="261"/>
      <c r="AF82" s="261"/>
      <c r="AG82" s="261"/>
      <c r="AH82" s="261"/>
      <c r="AI82" s="261"/>
      <c r="AJ82" s="261"/>
      <c r="AK82" s="261"/>
      <c r="AL82" s="261"/>
      <c r="AM82" s="261"/>
      <c r="AN82" s="261"/>
      <c r="AO82" s="261"/>
      <c r="AP82" s="261"/>
      <c r="AQ82" s="261"/>
      <c r="AR82" s="261"/>
      <c r="AS82" s="261"/>
      <c r="AT82" s="261"/>
      <c r="AU82" s="261"/>
      <c r="AV82" s="261"/>
      <c r="AW82" s="261"/>
      <c r="AX82" s="261"/>
      <c r="AY82" s="261"/>
      <c r="AZ82" s="261"/>
      <c r="BA82" s="261"/>
      <c r="BB82" s="261"/>
      <c r="BC82" s="261"/>
      <c r="BD82" s="261"/>
      <c r="BE82" s="261"/>
      <c r="BF82" s="261"/>
      <c r="BG82" s="261"/>
      <c r="BH82" s="261"/>
      <c r="BI82" s="261"/>
      <c r="BJ82" s="261"/>
      <c r="BK82" s="261"/>
      <c r="BL82" s="261"/>
      <c r="BM82" s="261"/>
      <c r="BN82" s="261"/>
      <c r="BO82" s="261"/>
      <c r="BP82" s="261"/>
      <c r="BQ82" s="261"/>
      <c r="BR82" s="261"/>
      <c r="BS82" s="261"/>
      <c r="BT82" s="261"/>
      <c r="BU82" s="261"/>
      <c r="BV82" s="261"/>
      <c r="BW82" s="261"/>
      <c r="BX82" s="261"/>
      <c r="BY82" s="261"/>
      <c r="BZ82" s="261"/>
      <c r="CA82" s="261"/>
      <c r="CB82" s="261"/>
      <c r="CC82" s="261"/>
      <c r="CD82" s="261"/>
      <c r="CE82" s="261"/>
      <c r="CF82" s="261"/>
      <c r="CG82" s="261"/>
      <c r="CH82" s="261"/>
      <c r="CI82" s="261"/>
      <c r="CJ82" s="261"/>
      <c r="CK82" s="261"/>
      <c r="CL82" s="261"/>
      <c r="CM82" s="261"/>
      <c r="CN82" s="261"/>
      <c r="CO82" s="261"/>
      <c r="CP82" s="261"/>
      <c r="CQ82" s="261"/>
      <c r="CR82" s="261"/>
      <c r="CS82" s="261"/>
      <c r="CT82" s="261"/>
      <c r="CU82" s="261"/>
      <c r="CV82" s="261"/>
      <c r="CW82" s="261"/>
      <c r="CX82" s="261"/>
      <c r="CY82" s="261"/>
      <c r="CZ82" s="261"/>
      <c r="DA82" s="261"/>
      <c r="DB82" s="261"/>
      <c r="DC82" s="21" t="s">
        <v>11</v>
      </c>
    </row>
    <row r="83" spans="2:107">
      <c r="I83" s="367"/>
      <c r="J83" s="232">
        <f>+K83*$D$53</f>
        <v>151040</v>
      </c>
      <c r="K83" s="233">
        <f>+K84+15</f>
        <v>1180</v>
      </c>
      <c r="L83" s="61">
        <f t="dataTable" ref="L83:P87" dt2D="1" dtr="1" r1="N122" r2="C53" ca="1"/>
        <v>0.13284408450126647</v>
      </c>
      <c r="M83" s="61">
        <v>0.14918856024742125</v>
      </c>
      <c r="N83" s="234">
        <v>0.17073567509651186</v>
      </c>
      <c r="O83" s="61">
        <v>0.20350919365882877</v>
      </c>
      <c r="P83" s="61">
        <v>0.25367208123207086</v>
      </c>
      <c r="S83" s="255"/>
      <c r="T83" s="53" t="s">
        <v>89</v>
      </c>
      <c r="U83" s="262"/>
      <c r="V83" s="263"/>
      <c r="W83" s="263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  <c r="BA83" s="59"/>
      <c r="BB83" s="59"/>
      <c r="BC83" s="59"/>
      <c r="BD83" s="59"/>
      <c r="BE83" s="59"/>
      <c r="BF83" s="59"/>
      <c r="BG83" s="59"/>
      <c r="BH83" s="59"/>
      <c r="BI83" s="59"/>
      <c r="BJ83" s="59"/>
      <c r="BK83" s="59"/>
      <c r="BL83" s="59"/>
      <c r="BM83" s="59"/>
      <c r="BN83" s="59"/>
      <c r="BO83" s="59"/>
      <c r="BP83" s="59"/>
      <c r="BQ83" s="59"/>
      <c r="BR83" s="59"/>
      <c r="BS83" s="59"/>
      <c r="BT83" s="59"/>
      <c r="BU83" s="59"/>
      <c r="BV83" s="59"/>
      <c r="BW83" s="59"/>
      <c r="BX83" s="59"/>
      <c r="BY83" s="59"/>
      <c r="BZ83" s="59"/>
      <c r="CA83" s="59"/>
      <c r="CB83" s="59"/>
      <c r="CC83" s="59"/>
      <c r="CD83" s="59"/>
      <c r="CE83" s="59"/>
      <c r="CF83" s="59"/>
      <c r="CG83" s="59"/>
      <c r="CH83" s="59"/>
      <c r="CI83" s="59"/>
      <c r="CJ83" s="59"/>
      <c r="CK83" s="59"/>
      <c r="CL83" s="59"/>
      <c r="CM83" s="59"/>
      <c r="CN83" s="59"/>
      <c r="CO83" s="59"/>
      <c r="CP83" s="59"/>
      <c r="CQ83" s="59"/>
      <c r="CR83" s="59"/>
      <c r="CS83" s="59"/>
      <c r="CT83" s="59"/>
      <c r="CU83" s="59"/>
      <c r="CV83" s="59"/>
      <c r="CW83" s="59"/>
      <c r="CX83" s="59"/>
      <c r="CY83" s="59"/>
      <c r="CZ83" s="59"/>
      <c r="DA83" s="59"/>
      <c r="DB83" s="59"/>
      <c r="DC83" s="21" t="s">
        <v>11</v>
      </c>
    </row>
    <row r="84" spans="2:107">
      <c r="C84" s="25"/>
      <c r="I84" s="367"/>
      <c r="J84" s="232">
        <f t="shared" ref="J84:J87" si="99">+K84*$D$53</f>
        <v>149120</v>
      </c>
      <c r="K84" s="233">
        <f>+K85+15</f>
        <v>1165</v>
      </c>
      <c r="L84" s="61">
        <v>0.13510809540748597</v>
      </c>
      <c r="M84" s="237">
        <v>0.15183721184730534</v>
      </c>
      <c r="N84" s="238">
        <v>0.17390001416206363</v>
      </c>
      <c r="O84" s="239">
        <v>0.20746106505393982</v>
      </c>
      <c r="P84" s="61">
        <v>0.25885888934135448</v>
      </c>
      <c r="S84" s="255"/>
      <c r="T84" s="9" t="s">
        <v>184</v>
      </c>
      <c r="U84" s="262"/>
      <c r="V84" s="263"/>
      <c r="W84" s="263">
        <f>+V87*(1+$O$31)^(0.0833333333333333)</f>
        <v>0</v>
      </c>
      <c r="X84" s="263">
        <f t="shared" ref="X84:CI84" si="100">+W87*(1+$O$31)^(0.0833333333333333)</f>
        <v>-39824.3328812693</v>
      </c>
      <c r="Y84" s="263">
        <f t="shared" si="100"/>
        <v>-901116.6373459266</v>
      </c>
      <c r="Z84" s="263">
        <f t="shared" si="100"/>
        <v>-966884.13007048122</v>
      </c>
      <c r="AA84" s="263">
        <f t="shared" si="100"/>
        <v>-1041351.5872588025</v>
      </c>
      <c r="AB84" s="263">
        <f t="shared" si="100"/>
        <v>-1085968.4451563947</v>
      </c>
      <c r="AC84" s="263">
        <f t="shared" si="100"/>
        <v>-1096756.6882459228</v>
      </c>
      <c r="AD84" s="263">
        <f t="shared" si="100"/>
        <v>-1107647.2987402554</v>
      </c>
      <c r="AE84" s="263">
        <f t="shared" si="100"/>
        <v>0</v>
      </c>
      <c r="AF84" s="263">
        <f t="shared" si="100"/>
        <v>0</v>
      </c>
      <c r="AG84" s="263">
        <f t="shared" si="100"/>
        <v>0</v>
      </c>
      <c r="AH84" s="263">
        <f t="shared" si="100"/>
        <v>0</v>
      </c>
      <c r="AI84" s="263">
        <f t="shared" si="100"/>
        <v>0</v>
      </c>
      <c r="AJ84" s="263">
        <f t="shared" si="100"/>
        <v>0</v>
      </c>
      <c r="AK84" s="263">
        <f t="shared" si="100"/>
        <v>0</v>
      </c>
      <c r="AL84" s="263">
        <f t="shared" si="100"/>
        <v>0</v>
      </c>
      <c r="AM84" s="263">
        <f t="shared" si="100"/>
        <v>0</v>
      </c>
      <c r="AN84" s="263">
        <f t="shared" si="100"/>
        <v>0</v>
      </c>
      <c r="AO84" s="263">
        <f t="shared" si="100"/>
        <v>0</v>
      </c>
      <c r="AP84" s="263">
        <f t="shared" si="100"/>
        <v>0</v>
      </c>
      <c r="AQ84" s="263">
        <f t="shared" si="100"/>
        <v>0</v>
      </c>
      <c r="AR84" s="263">
        <f t="shared" si="100"/>
        <v>0</v>
      </c>
      <c r="AS84" s="263">
        <f t="shared" si="100"/>
        <v>0</v>
      </c>
      <c r="AT84" s="263">
        <f t="shared" si="100"/>
        <v>0</v>
      </c>
      <c r="AU84" s="263">
        <f t="shared" si="100"/>
        <v>0</v>
      </c>
      <c r="AV84" s="263">
        <f t="shared" si="100"/>
        <v>0</v>
      </c>
      <c r="AW84" s="263">
        <f t="shared" si="100"/>
        <v>0</v>
      </c>
      <c r="AX84" s="263">
        <f t="shared" si="100"/>
        <v>0</v>
      </c>
      <c r="AY84" s="263">
        <f t="shared" si="100"/>
        <v>0</v>
      </c>
      <c r="AZ84" s="263">
        <f t="shared" si="100"/>
        <v>0</v>
      </c>
      <c r="BA84" s="263">
        <f t="shared" si="100"/>
        <v>0</v>
      </c>
      <c r="BB84" s="263">
        <f t="shared" si="100"/>
        <v>0</v>
      </c>
      <c r="BC84" s="263">
        <f t="shared" si="100"/>
        <v>0</v>
      </c>
      <c r="BD84" s="263">
        <f t="shared" si="100"/>
        <v>0</v>
      </c>
      <c r="BE84" s="263">
        <f t="shared" si="100"/>
        <v>0</v>
      </c>
      <c r="BF84" s="263">
        <f t="shared" si="100"/>
        <v>0</v>
      </c>
      <c r="BG84" s="263">
        <f t="shared" si="100"/>
        <v>0</v>
      </c>
      <c r="BH84" s="263">
        <f t="shared" si="100"/>
        <v>0</v>
      </c>
      <c r="BI84" s="263">
        <f t="shared" si="100"/>
        <v>0</v>
      </c>
      <c r="BJ84" s="263">
        <f t="shared" si="100"/>
        <v>0</v>
      </c>
      <c r="BK84" s="263">
        <f t="shared" si="100"/>
        <v>0</v>
      </c>
      <c r="BL84" s="263">
        <f t="shared" si="100"/>
        <v>0</v>
      </c>
      <c r="BM84" s="263">
        <f t="shared" si="100"/>
        <v>0</v>
      </c>
      <c r="BN84" s="263">
        <f t="shared" si="100"/>
        <v>0</v>
      </c>
      <c r="BO84" s="263">
        <f t="shared" si="100"/>
        <v>0</v>
      </c>
      <c r="BP84" s="263">
        <f t="shared" si="100"/>
        <v>0</v>
      </c>
      <c r="BQ84" s="263">
        <f t="shared" si="100"/>
        <v>0</v>
      </c>
      <c r="BR84" s="263">
        <f t="shared" si="100"/>
        <v>0</v>
      </c>
      <c r="BS84" s="263">
        <f t="shared" si="100"/>
        <v>0</v>
      </c>
      <c r="BT84" s="263">
        <f t="shared" si="100"/>
        <v>0</v>
      </c>
      <c r="BU84" s="263">
        <f t="shared" si="100"/>
        <v>0</v>
      </c>
      <c r="BV84" s="263">
        <f t="shared" si="100"/>
        <v>0</v>
      </c>
      <c r="BW84" s="263">
        <f t="shared" si="100"/>
        <v>0</v>
      </c>
      <c r="BX84" s="263">
        <f t="shared" si="100"/>
        <v>0</v>
      </c>
      <c r="BY84" s="263">
        <f t="shared" si="100"/>
        <v>0</v>
      </c>
      <c r="BZ84" s="263">
        <f t="shared" si="100"/>
        <v>0</v>
      </c>
      <c r="CA84" s="263">
        <f t="shared" si="100"/>
        <v>0</v>
      </c>
      <c r="CB84" s="263">
        <f t="shared" si="100"/>
        <v>0</v>
      </c>
      <c r="CC84" s="263">
        <f t="shared" si="100"/>
        <v>0</v>
      </c>
      <c r="CD84" s="263">
        <f t="shared" si="100"/>
        <v>0</v>
      </c>
      <c r="CE84" s="263">
        <f t="shared" si="100"/>
        <v>0</v>
      </c>
      <c r="CF84" s="263">
        <f t="shared" si="100"/>
        <v>0</v>
      </c>
      <c r="CG84" s="263">
        <f t="shared" si="100"/>
        <v>0</v>
      </c>
      <c r="CH84" s="263">
        <f t="shared" si="100"/>
        <v>0</v>
      </c>
      <c r="CI84" s="263">
        <f t="shared" si="100"/>
        <v>0</v>
      </c>
      <c r="CJ84" s="263">
        <f t="shared" ref="CJ84:DB84" si="101">+CI87*(1+$O$31)^(0.0833333333333333)</f>
        <v>0</v>
      </c>
      <c r="CK84" s="263">
        <f t="shared" si="101"/>
        <v>0</v>
      </c>
      <c r="CL84" s="263">
        <f t="shared" si="101"/>
        <v>0</v>
      </c>
      <c r="CM84" s="263">
        <f t="shared" si="101"/>
        <v>0</v>
      </c>
      <c r="CN84" s="263">
        <f t="shared" si="101"/>
        <v>0</v>
      </c>
      <c r="CO84" s="263">
        <f t="shared" si="101"/>
        <v>0</v>
      </c>
      <c r="CP84" s="263">
        <f t="shared" si="101"/>
        <v>0</v>
      </c>
      <c r="CQ84" s="263">
        <f t="shared" si="101"/>
        <v>0</v>
      </c>
      <c r="CR84" s="263">
        <f t="shared" si="101"/>
        <v>0</v>
      </c>
      <c r="CS84" s="263">
        <f t="shared" si="101"/>
        <v>0</v>
      </c>
      <c r="CT84" s="263">
        <f t="shared" si="101"/>
        <v>0</v>
      </c>
      <c r="CU84" s="263">
        <f t="shared" si="101"/>
        <v>0</v>
      </c>
      <c r="CV84" s="263">
        <f t="shared" si="101"/>
        <v>0</v>
      </c>
      <c r="CW84" s="263">
        <f t="shared" si="101"/>
        <v>0</v>
      </c>
      <c r="CX84" s="263">
        <f t="shared" si="101"/>
        <v>0</v>
      </c>
      <c r="CY84" s="263">
        <f t="shared" si="101"/>
        <v>0</v>
      </c>
      <c r="CZ84" s="263">
        <f t="shared" si="101"/>
        <v>0</v>
      </c>
      <c r="DA84" s="263">
        <f t="shared" si="101"/>
        <v>0</v>
      </c>
      <c r="DB84" s="263">
        <f t="shared" si="101"/>
        <v>0</v>
      </c>
      <c r="DC84" s="21" t="s">
        <v>11</v>
      </c>
    </row>
    <row r="85" spans="2:107">
      <c r="C85" s="137"/>
      <c r="I85" s="367"/>
      <c r="J85" s="232">
        <f t="shared" si="99"/>
        <v>147200</v>
      </c>
      <c r="K85" s="240">
        <v>1150</v>
      </c>
      <c r="L85" s="234">
        <v>0.13738122582435611</v>
      </c>
      <c r="M85" s="241">
        <v>0.15449708104133608</v>
      </c>
      <c r="N85" s="242">
        <v>0.1770785629749298</v>
      </c>
      <c r="O85" s="243">
        <v>0.21143220067024232</v>
      </c>
      <c r="P85" s="234">
        <v>0.26407387852668762</v>
      </c>
      <c r="S85" s="255"/>
      <c r="T85" s="9" t="s">
        <v>185</v>
      </c>
      <c r="U85" s="264">
        <f>+SUM(V85:DB85)</f>
        <v>-1048998.0199999998</v>
      </c>
      <c r="V85" s="263"/>
      <c r="W85" s="263">
        <f>+MIN(W67,0)</f>
        <v>-39450</v>
      </c>
      <c r="X85" s="263">
        <f t="shared" ref="X85:CI85" si="102">+MIN(X67,0)</f>
        <v>-852822.16666666663</v>
      </c>
      <c r="Y85" s="263">
        <f t="shared" si="102"/>
        <v>-56679.166666666664</v>
      </c>
      <c r="Z85" s="263">
        <f t="shared" si="102"/>
        <v>-64679.166666666664</v>
      </c>
      <c r="AA85" s="263">
        <f t="shared" si="102"/>
        <v>-34409.186666666668</v>
      </c>
      <c r="AB85" s="263">
        <f t="shared" si="102"/>
        <v>-479.16666666666669</v>
      </c>
      <c r="AC85" s="263">
        <f t="shared" si="102"/>
        <v>-479.16666666666669</v>
      </c>
      <c r="AD85" s="263">
        <f t="shared" si="102"/>
        <v>0</v>
      </c>
      <c r="AE85" s="263">
        <f t="shared" si="102"/>
        <v>0</v>
      </c>
      <c r="AF85" s="263">
        <f t="shared" si="102"/>
        <v>0</v>
      </c>
      <c r="AG85" s="263">
        <f t="shared" si="102"/>
        <v>0</v>
      </c>
      <c r="AH85" s="263">
        <f t="shared" si="102"/>
        <v>0</v>
      </c>
      <c r="AI85" s="263">
        <f t="shared" si="102"/>
        <v>0</v>
      </c>
      <c r="AJ85" s="263">
        <f t="shared" si="102"/>
        <v>0</v>
      </c>
      <c r="AK85" s="263">
        <f t="shared" si="102"/>
        <v>0</v>
      </c>
      <c r="AL85" s="263">
        <f t="shared" si="102"/>
        <v>0</v>
      </c>
      <c r="AM85" s="263">
        <f t="shared" si="102"/>
        <v>0</v>
      </c>
      <c r="AN85" s="263">
        <f t="shared" si="102"/>
        <v>0</v>
      </c>
      <c r="AO85" s="263">
        <f t="shared" si="102"/>
        <v>0</v>
      </c>
      <c r="AP85" s="263">
        <f t="shared" si="102"/>
        <v>0</v>
      </c>
      <c r="AQ85" s="263">
        <f t="shared" si="102"/>
        <v>0</v>
      </c>
      <c r="AR85" s="263">
        <f t="shared" si="102"/>
        <v>0</v>
      </c>
      <c r="AS85" s="263">
        <f t="shared" si="102"/>
        <v>0</v>
      </c>
      <c r="AT85" s="263">
        <f t="shared" si="102"/>
        <v>0</v>
      </c>
      <c r="AU85" s="263">
        <f t="shared" si="102"/>
        <v>0</v>
      </c>
      <c r="AV85" s="263">
        <f t="shared" si="102"/>
        <v>0</v>
      </c>
      <c r="AW85" s="263">
        <f t="shared" si="102"/>
        <v>0</v>
      </c>
      <c r="AX85" s="263">
        <f t="shared" si="102"/>
        <v>0</v>
      </c>
      <c r="AY85" s="263">
        <f t="shared" si="102"/>
        <v>0</v>
      </c>
      <c r="AZ85" s="263">
        <f t="shared" si="102"/>
        <v>0</v>
      </c>
      <c r="BA85" s="263">
        <f t="shared" si="102"/>
        <v>0</v>
      </c>
      <c r="BB85" s="263">
        <f t="shared" si="102"/>
        <v>0</v>
      </c>
      <c r="BC85" s="263">
        <f t="shared" si="102"/>
        <v>0</v>
      </c>
      <c r="BD85" s="263">
        <f t="shared" si="102"/>
        <v>0</v>
      </c>
      <c r="BE85" s="263">
        <f t="shared" si="102"/>
        <v>0</v>
      </c>
      <c r="BF85" s="263">
        <f t="shared" si="102"/>
        <v>0</v>
      </c>
      <c r="BG85" s="263">
        <f t="shared" si="102"/>
        <v>0</v>
      </c>
      <c r="BH85" s="263">
        <f t="shared" si="102"/>
        <v>0</v>
      </c>
      <c r="BI85" s="263">
        <f t="shared" si="102"/>
        <v>0</v>
      </c>
      <c r="BJ85" s="263">
        <f t="shared" si="102"/>
        <v>0</v>
      </c>
      <c r="BK85" s="263">
        <f t="shared" si="102"/>
        <v>0</v>
      </c>
      <c r="BL85" s="263">
        <f t="shared" si="102"/>
        <v>0</v>
      </c>
      <c r="BM85" s="263">
        <f t="shared" si="102"/>
        <v>0</v>
      </c>
      <c r="BN85" s="263">
        <f t="shared" si="102"/>
        <v>0</v>
      </c>
      <c r="BO85" s="263">
        <f t="shared" si="102"/>
        <v>0</v>
      </c>
      <c r="BP85" s="263">
        <f t="shared" si="102"/>
        <v>0</v>
      </c>
      <c r="BQ85" s="263">
        <f t="shared" si="102"/>
        <v>0</v>
      </c>
      <c r="BR85" s="263">
        <f t="shared" si="102"/>
        <v>0</v>
      </c>
      <c r="BS85" s="263">
        <f t="shared" si="102"/>
        <v>0</v>
      </c>
      <c r="BT85" s="263">
        <f t="shared" si="102"/>
        <v>0</v>
      </c>
      <c r="BU85" s="263">
        <f t="shared" si="102"/>
        <v>0</v>
      </c>
      <c r="BV85" s="263">
        <f t="shared" si="102"/>
        <v>0</v>
      </c>
      <c r="BW85" s="263">
        <f t="shared" si="102"/>
        <v>0</v>
      </c>
      <c r="BX85" s="263">
        <f t="shared" si="102"/>
        <v>0</v>
      </c>
      <c r="BY85" s="263">
        <f t="shared" si="102"/>
        <v>0</v>
      </c>
      <c r="BZ85" s="263">
        <f t="shared" si="102"/>
        <v>0</v>
      </c>
      <c r="CA85" s="263">
        <f t="shared" si="102"/>
        <v>0</v>
      </c>
      <c r="CB85" s="263">
        <f t="shared" si="102"/>
        <v>0</v>
      </c>
      <c r="CC85" s="263">
        <f t="shared" si="102"/>
        <v>0</v>
      </c>
      <c r="CD85" s="263">
        <f t="shared" si="102"/>
        <v>0</v>
      </c>
      <c r="CE85" s="263">
        <f t="shared" si="102"/>
        <v>0</v>
      </c>
      <c r="CF85" s="263">
        <f t="shared" si="102"/>
        <v>0</v>
      </c>
      <c r="CG85" s="263">
        <f t="shared" si="102"/>
        <v>0</v>
      </c>
      <c r="CH85" s="263">
        <f t="shared" si="102"/>
        <v>0</v>
      </c>
      <c r="CI85" s="263">
        <f t="shared" si="102"/>
        <v>0</v>
      </c>
      <c r="CJ85" s="263">
        <f t="shared" ref="CJ85:DB85" si="103">+MIN(CJ67,0)</f>
        <v>0</v>
      </c>
      <c r="CK85" s="263">
        <f t="shared" si="103"/>
        <v>0</v>
      </c>
      <c r="CL85" s="263">
        <f t="shared" si="103"/>
        <v>0</v>
      </c>
      <c r="CM85" s="263">
        <f t="shared" si="103"/>
        <v>0</v>
      </c>
      <c r="CN85" s="263">
        <f t="shared" si="103"/>
        <v>0</v>
      </c>
      <c r="CO85" s="263">
        <f t="shared" si="103"/>
        <v>0</v>
      </c>
      <c r="CP85" s="263">
        <f t="shared" si="103"/>
        <v>0</v>
      </c>
      <c r="CQ85" s="263">
        <f t="shared" si="103"/>
        <v>0</v>
      </c>
      <c r="CR85" s="263">
        <f t="shared" si="103"/>
        <v>0</v>
      </c>
      <c r="CS85" s="263">
        <f t="shared" si="103"/>
        <v>0</v>
      </c>
      <c r="CT85" s="263">
        <f t="shared" si="103"/>
        <v>0</v>
      </c>
      <c r="CU85" s="263">
        <f t="shared" si="103"/>
        <v>0</v>
      </c>
      <c r="CV85" s="263">
        <f t="shared" si="103"/>
        <v>0</v>
      </c>
      <c r="CW85" s="263">
        <f t="shared" si="103"/>
        <v>0</v>
      </c>
      <c r="CX85" s="263">
        <f t="shared" si="103"/>
        <v>0</v>
      </c>
      <c r="CY85" s="263">
        <f t="shared" si="103"/>
        <v>0</v>
      </c>
      <c r="CZ85" s="263">
        <f t="shared" si="103"/>
        <v>0</v>
      </c>
      <c r="DA85" s="263">
        <f t="shared" si="103"/>
        <v>0</v>
      </c>
      <c r="DB85" s="263">
        <f t="shared" si="103"/>
        <v>0</v>
      </c>
      <c r="DC85" s="21" t="s">
        <v>11</v>
      </c>
    </row>
    <row r="86" spans="2:107">
      <c r="I86" s="367"/>
      <c r="J86" s="232">
        <f t="shared" si="99"/>
        <v>145280</v>
      </c>
      <c r="K86" s="233">
        <f>+K85-15</f>
        <v>1135</v>
      </c>
      <c r="L86" s="61">
        <v>0.1396635353565216</v>
      </c>
      <c r="M86" s="247">
        <v>0.15716821551322938</v>
      </c>
      <c r="N86" s="248">
        <v>0.18027142882347108</v>
      </c>
      <c r="O86" s="249">
        <v>0.21542271971702576</v>
      </c>
      <c r="P86" s="61">
        <v>0.26931722760200505</v>
      </c>
      <c r="S86" s="255"/>
      <c r="T86" s="9" t="s">
        <v>186</v>
      </c>
      <c r="U86" s="264">
        <f t="shared" ref="U86:U89" si="104">+SUM(V86:DB86)</f>
        <v>1148376.9933333332</v>
      </c>
      <c r="V86" s="263"/>
      <c r="W86" s="263">
        <f>+MAX(W67,0)</f>
        <v>0</v>
      </c>
      <c r="X86" s="263">
        <f t="shared" ref="X86:CI86" si="105">+MAX(X67,0)</f>
        <v>0</v>
      </c>
      <c r="Y86" s="263">
        <f t="shared" si="105"/>
        <v>0</v>
      </c>
      <c r="Z86" s="263">
        <f t="shared" si="105"/>
        <v>0</v>
      </c>
      <c r="AA86" s="263">
        <f t="shared" si="105"/>
        <v>0</v>
      </c>
      <c r="AB86" s="263">
        <f t="shared" si="105"/>
        <v>0</v>
      </c>
      <c r="AC86" s="263">
        <f t="shared" si="105"/>
        <v>0</v>
      </c>
      <c r="AD86" s="263">
        <f t="shared" si="105"/>
        <v>1148376.9933333332</v>
      </c>
      <c r="AE86" s="263">
        <f t="shared" si="105"/>
        <v>0</v>
      </c>
      <c r="AF86" s="263">
        <f t="shared" si="105"/>
        <v>0</v>
      </c>
      <c r="AG86" s="263">
        <f t="shared" si="105"/>
        <v>0</v>
      </c>
      <c r="AH86" s="263">
        <f t="shared" si="105"/>
        <v>0</v>
      </c>
      <c r="AI86" s="263">
        <f t="shared" si="105"/>
        <v>0</v>
      </c>
      <c r="AJ86" s="263">
        <f t="shared" si="105"/>
        <v>0</v>
      </c>
      <c r="AK86" s="263">
        <f t="shared" si="105"/>
        <v>0</v>
      </c>
      <c r="AL86" s="263">
        <f t="shared" si="105"/>
        <v>0</v>
      </c>
      <c r="AM86" s="263">
        <f t="shared" si="105"/>
        <v>0</v>
      </c>
      <c r="AN86" s="263">
        <f t="shared" si="105"/>
        <v>0</v>
      </c>
      <c r="AO86" s="263">
        <f t="shared" si="105"/>
        <v>0</v>
      </c>
      <c r="AP86" s="263">
        <f t="shared" si="105"/>
        <v>0</v>
      </c>
      <c r="AQ86" s="263">
        <f t="shared" si="105"/>
        <v>0</v>
      </c>
      <c r="AR86" s="263">
        <f t="shared" si="105"/>
        <v>0</v>
      </c>
      <c r="AS86" s="263">
        <f t="shared" si="105"/>
        <v>0</v>
      </c>
      <c r="AT86" s="263">
        <f t="shared" si="105"/>
        <v>0</v>
      </c>
      <c r="AU86" s="263">
        <f t="shared" si="105"/>
        <v>0</v>
      </c>
      <c r="AV86" s="263">
        <f t="shared" si="105"/>
        <v>0</v>
      </c>
      <c r="AW86" s="263">
        <f t="shared" si="105"/>
        <v>0</v>
      </c>
      <c r="AX86" s="263">
        <f t="shared" si="105"/>
        <v>0</v>
      </c>
      <c r="AY86" s="263">
        <f t="shared" si="105"/>
        <v>0</v>
      </c>
      <c r="AZ86" s="263">
        <f t="shared" si="105"/>
        <v>0</v>
      </c>
      <c r="BA86" s="263">
        <f t="shared" si="105"/>
        <v>0</v>
      </c>
      <c r="BB86" s="263">
        <f t="shared" si="105"/>
        <v>0</v>
      </c>
      <c r="BC86" s="263">
        <f t="shared" si="105"/>
        <v>0</v>
      </c>
      <c r="BD86" s="263">
        <f t="shared" si="105"/>
        <v>0</v>
      </c>
      <c r="BE86" s="263">
        <f t="shared" si="105"/>
        <v>0</v>
      </c>
      <c r="BF86" s="263">
        <f t="shared" si="105"/>
        <v>0</v>
      </c>
      <c r="BG86" s="263">
        <f t="shared" si="105"/>
        <v>0</v>
      </c>
      <c r="BH86" s="263">
        <f t="shared" si="105"/>
        <v>0</v>
      </c>
      <c r="BI86" s="263">
        <f t="shared" si="105"/>
        <v>0</v>
      </c>
      <c r="BJ86" s="263">
        <f t="shared" si="105"/>
        <v>0</v>
      </c>
      <c r="BK86" s="263">
        <f t="shared" si="105"/>
        <v>0</v>
      </c>
      <c r="BL86" s="263">
        <f t="shared" si="105"/>
        <v>0</v>
      </c>
      <c r="BM86" s="263">
        <f t="shared" si="105"/>
        <v>0</v>
      </c>
      <c r="BN86" s="263">
        <f t="shared" si="105"/>
        <v>0</v>
      </c>
      <c r="BO86" s="263">
        <f t="shared" si="105"/>
        <v>0</v>
      </c>
      <c r="BP86" s="263">
        <f t="shared" si="105"/>
        <v>0</v>
      </c>
      <c r="BQ86" s="263">
        <f t="shared" si="105"/>
        <v>0</v>
      </c>
      <c r="BR86" s="263">
        <f t="shared" si="105"/>
        <v>0</v>
      </c>
      <c r="BS86" s="263">
        <f t="shared" si="105"/>
        <v>0</v>
      </c>
      <c r="BT86" s="263">
        <f t="shared" si="105"/>
        <v>0</v>
      </c>
      <c r="BU86" s="263">
        <f t="shared" si="105"/>
        <v>0</v>
      </c>
      <c r="BV86" s="263">
        <f t="shared" si="105"/>
        <v>0</v>
      </c>
      <c r="BW86" s="263">
        <f t="shared" si="105"/>
        <v>0</v>
      </c>
      <c r="BX86" s="263">
        <f t="shared" si="105"/>
        <v>0</v>
      </c>
      <c r="BY86" s="263">
        <f t="shared" si="105"/>
        <v>0</v>
      </c>
      <c r="BZ86" s="263">
        <f t="shared" si="105"/>
        <v>0</v>
      </c>
      <c r="CA86" s="263">
        <f t="shared" si="105"/>
        <v>0</v>
      </c>
      <c r="CB86" s="263">
        <f t="shared" si="105"/>
        <v>0</v>
      </c>
      <c r="CC86" s="263">
        <f t="shared" si="105"/>
        <v>0</v>
      </c>
      <c r="CD86" s="263">
        <f t="shared" si="105"/>
        <v>0</v>
      </c>
      <c r="CE86" s="263">
        <f t="shared" si="105"/>
        <v>0</v>
      </c>
      <c r="CF86" s="263">
        <f t="shared" si="105"/>
        <v>0</v>
      </c>
      <c r="CG86" s="263">
        <f t="shared" si="105"/>
        <v>0</v>
      </c>
      <c r="CH86" s="263">
        <f t="shared" si="105"/>
        <v>0</v>
      </c>
      <c r="CI86" s="263">
        <f t="shared" si="105"/>
        <v>0</v>
      </c>
      <c r="CJ86" s="263">
        <f t="shared" ref="CJ86:DB86" si="106">+MAX(CJ67,0)</f>
        <v>0</v>
      </c>
      <c r="CK86" s="263">
        <f t="shared" si="106"/>
        <v>0</v>
      </c>
      <c r="CL86" s="263">
        <f t="shared" si="106"/>
        <v>0</v>
      </c>
      <c r="CM86" s="263">
        <f t="shared" si="106"/>
        <v>0</v>
      </c>
      <c r="CN86" s="263">
        <f t="shared" si="106"/>
        <v>0</v>
      </c>
      <c r="CO86" s="263">
        <f t="shared" si="106"/>
        <v>0</v>
      </c>
      <c r="CP86" s="263">
        <f t="shared" si="106"/>
        <v>0</v>
      </c>
      <c r="CQ86" s="263">
        <f t="shared" si="106"/>
        <v>0</v>
      </c>
      <c r="CR86" s="263">
        <f t="shared" si="106"/>
        <v>0</v>
      </c>
      <c r="CS86" s="263">
        <f t="shared" si="106"/>
        <v>0</v>
      </c>
      <c r="CT86" s="263">
        <f t="shared" si="106"/>
        <v>0</v>
      </c>
      <c r="CU86" s="263">
        <f t="shared" si="106"/>
        <v>0</v>
      </c>
      <c r="CV86" s="263">
        <f t="shared" si="106"/>
        <v>0</v>
      </c>
      <c r="CW86" s="263">
        <f t="shared" si="106"/>
        <v>0</v>
      </c>
      <c r="CX86" s="263">
        <f t="shared" si="106"/>
        <v>0</v>
      </c>
      <c r="CY86" s="263">
        <f t="shared" si="106"/>
        <v>0</v>
      </c>
      <c r="CZ86" s="263">
        <f t="shared" si="106"/>
        <v>0</v>
      </c>
      <c r="DA86" s="263">
        <f t="shared" si="106"/>
        <v>0</v>
      </c>
      <c r="DB86" s="263">
        <f t="shared" si="106"/>
        <v>0</v>
      </c>
      <c r="DC86" s="21" t="s">
        <v>11</v>
      </c>
    </row>
    <row r="87" spans="2:107">
      <c r="I87" s="367"/>
      <c r="J87" s="232">
        <f t="shared" si="99"/>
        <v>143360</v>
      </c>
      <c r="K87" s="233">
        <f>+K86-15</f>
        <v>1120</v>
      </c>
      <c r="L87" s="61">
        <v>0.14195507168769839</v>
      </c>
      <c r="M87" s="61">
        <v>0.15985068678855902</v>
      </c>
      <c r="N87" s="234">
        <v>0.1834786593914032</v>
      </c>
      <c r="O87" s="61">
        <v>0.21943274140357971</v>
      </c>
      <c r="P87" s="61">
        <v>0.27458911538124098</v>
      </c>
      <c r="S87" s="255"/>
      <c r="T87" s="9" t="s">
        <v>155</v>
      </c>
      <c r="U87" s="264"/>
      <c r="V87" s="263"/>
      <c r="W87" s="265">
        <f>+MIN(SUM(W84:W86),0)</f>
        <v>-39450</v>
      </c>
      <c r="X87" s="265">
        <f t="shared" ref="X87:CI87" si="107">+MIN(SUM(X84:X86),0)</f>
        <v>-892646.49954793591</v>
      </c>
      <c r="Y87" s="265">
        <f t="shared" si="107"/>
        <v>-957795.80401259323</v>
      </c>
      <c r="Z87" s="265">
        <f t="shared" si="107"/>
        <v>-1031563.2967371478</v>
      </c>
      <c r="AA87" s="265">
        <f t="shared" si="107"/>
        <v>-1075760.7739254693</v>
      </c>
      <c r="AB87" s="265">
        <f t="shared" si="107"/>
        <v>-1086447.6118230615</v>
      </c>
      <c r="AC87" s="265">
        <f t="shared" si="107"/>
        <v>-1097235.8549125895</v>
      </c>
      <c r="AD87" s="265">
        <f t="shared" si="107"/>
        <v>0</v>
      </c>
      <c r="AE87" s="265">
        <f t="shared" si="107"/>
        <v>0</v>
      </c>
      <c r="AF87" s="265">
        <f t="shared" si="107"/>
        <v>0</v>
      </c>
      <c r="AG87" s="265">
        <f t="shared" si="107"/>
        <v>0</v>
      </c>
      <c r="AH87" s="265">
        <f t="shared" si="107"/>
        <v>0</v>
      </c>
      <c r="AI87" s="265">
        <f t="shared" si="107"/>
        <v>0</v>
      </c>
      <c r="AJ87" s="265">
        <f t="shared" si="107"/>
        <v>0</v>
      </c>
      <c r="AK87" s="265">
        <f t="shared" si="107"/>
        <v>0</v>
      </c>
      <c r="AL87" s="265">
        <f t="shared" si="107"/>
        <v>0</v>
      </c>
      <c r="AM87" s="265">
        <f t="shared" si="107"/>
        <v>0</v>
      </c>
      <c r="AN87" s="265">
        <f t="shared" si="107"/>
        <v>0</v>
      </c>
      <c r="AO87" s="265">
        <f t="shared" si="107"/>
        <v>0</v>
      </c>
      <c r="AP87" s="265">
        <f t="shared" si="107"/>
        <v>0</v>
      </c>
      <c r="AQ87" s="265">
        <f t="shared" si="107"/>
        <v>0</v>
      </c>
      <c r="AR87" s="265">
        <f t="shared" si="107"/>
        <v>0</v>
      </c>
      <c r="AS87" s="265">
        <f t="shared" si="107"/>
        <v>0</v>
      </c>
      <c r="AT87" s="265">
        <f t="shared" si="107"/>
        <v>0</v>
      </c>
      <c r="AU87" s="265">
        <f t="shared" si="107"/>
        <v>0</v>
      </c>
      <c r="AV87" s="265">
        <f t="shared" si="107"/>
        <v>0</v>
      </c>
      <c r="AW87" s="265">
        <f t="shared" si="107"/>
        <v>0</v>
      </c>
      <c r="AX87" s="265">
        <f t="shared" si="107"/>
        <v>0</v>
      </c>
      <c r="AY87" s="265">
        <f t="shared" si="107"/>
        <v>0</v>
      </c>
      <c r="AZ87" s="265">
        <f t="shared" si="107"/>
        <v>0</v>
      </c>
      <c r="BA87" s="265">
        <f t="shared" si="107"/>
        <v>0</v>
      </c>
      <c r="BB87" s="265">
        <f t="shared" si="107"/>
        <v>0</v>
      </c>
      <c r="BC87" s="265">
        <f t="shared" si="107"/>
        <v>0</v>
      </c>
      <c r="BD87" s="265">
        <f t="shared" si="107"/>
        <v>0</v>
      </c>
      <c r="BE87" s="265">
        <f t="shared" si="107"/>
        <v>0</v>
      </c>
      <c r="BF87" s="265">
        <f t="shared" si="107"/>
        <v>0</v>
      </c>
      <c r="BG87" s="265">
        <f t="shared" si="107"/>
        <v>0</v>
      </c>
      <c r="BH87" s="265">
        <f t="shared" si="107"/>
        <v>0</v>
      </c>
      <c r="BI87" s="265">
        <f t="shared" si="107"/>
        <v>0</v>
      </c>
      <c r="BJ87" s="265">
        <f t="shared" si="107"/>
        <v>0</v>
      </c>
      <c r="BK87" s="265">
        <f t="shared" si="107"/>
        <v>0</v>
      </c>
      <c r="BL87" s="265">
        <f t="shared" si="107"/>
        <v>0</v>
      </c>
      <c r="BM87" s="265">
        <f t="shared" si="107"/>
        <v>0</v>
      </c>
      <c r="BN87" s="265">
        <f t="shared" si="107"/>
        <v>0</v>
      </c>
      <c r="BO87" s="265">
        <f t="shared" si="107"/>
        <v>0</v>
      </c>
      <c r="BP87" s="265">
        <f t="shared" si="107"/>
        <v>0</v>
      </c>
      <c r="BQ87" s="265">
        <f t="shared" si="107"/>
        <v>0</v>
      </c>
      <c r="BR87" s="265">
        <f t="shared" si="107"/>
        <v>0</v>
      </c>
      <c r="BS87" s="265">
        <f t="shared" si="107"/>
        <v>0</v>
      </c>
      <c r="BT87" s="265">
        <f t="shared" si="107"/>
        <v>0</v>
      </c>
      <c r="BU87" s="265">
        <f t="shared" si="107"/>
        <v>0</v>
      </c>
      <c r="BV87" s="265">
        <f t="shared" si="107"/>
        <v>0</v>
      </c>
      <c r="BW87" s="265">
        <f t="shared" si="107"/>
        <v>0</v>
      </c>
      <c r="BX87" s="265">
        <f t="shared" si="107"/>
        <v>0</v>
      </c>
      <c r="BY87" s="265">
        <f t="shared" si="107"/>
        <v>0</v>
      </c>
      <c r="BZ87" s="265">
        <f t="shared" si="107"/>
        <v>0</v>
      </c>
      <c r="CA87" s="265">
        <f t="shared" si="107"/>
        <v>0</v>
      </c>
      <c r="CB87" s="265">
        <f t="shared" si="107"/>
        <v>0</v>
      </c>
      <c r="CC87" s="265">
        <f t="shared" si="107"/>
        <v>0</v>
      </c>
      <c r="CD87" s="265">
        <f t="shared" si="107"/>
        <v>0</v>
      </c>
      <c r="CE87" s="265">
        <f t="shared" si="107"/>
        <v>0</v>
      </c>
      <c r="CF87" s="265">
        <f t="shared" si="107"/>
        <v>0</v>
      </c>
      <c r="CG87" s="265">
        <f t="shared" si="107"/>
        <v>0</v>
      </c>
      <c r="CH87" s="265">
        <f t="shared" si="107"/>
        <v>0</v>
      </c>
      <c r="CI87" s="265">
        <f t="shared" si="107"/>
        <v>0</v>
      </c>
      <c r="CJ87" s="265">
        <f t="shared" ref="CJ87:DB87" si="108">+MIN(SUM(CJ84:CJ86),0)</f>
        <v>0</v>
      </c>
      <c r="CK87" s="265">
        <f t="shared" si="108"/>
        <v>0</v>
      </c>
      <c r="CL87" s="265">
        <f t="shared" si="108"/>
        <v>0</v>
      </c>
      <c r="CM87" s="265">
        <f t="shared" si="108"/>
        <v>0</v>
      </c>
      <c r="CN87" s="265">
        <f t="shared" si="108"/>
        <v>0</v>
      </c>
      <c r="CO87" s="265">
        <f t="shared" si="108"/>
        <v>0</v>
      </c>
      <c r="CP87" s="265">
        <f t="shared" si="108"/>
        <v>0</v>
      </c>
      <c r="CQ87" s="265">
        <f t="shared" si="108"/>
        <v>0</v>
      </c>
      <c r="CR87" s="265">
        <f t="shared" si="108"/>
        <v>0</v>
      </c>
      <c r="CS87" s="265">
        <f t="shared" si="108"/>
        <v>0</v>
      </c>
      <c r="CT87" s="265">
        <f t="shared" si="108"/>
        <v>0</v>
      </c>
      <c r="CU87" s="265">
        <f t="shared" si="108"/>
        <v>0</v>
      </c>
      <c r="CV87" s="265">
        <f t="shared" si="108"/>
        <v>0</v>
      </c>
      <c r="CW87" s="265">
        <f t="shared" si="108"/>
        <v>0</v>
      </c>
      <c r="CX87" s="265">
        <f t="shared" si="108"/>
        <v>0</v>
      </c>
      <c r="CY87" s="265">
        <f t="shared" si="108"/>
        <v>0</v>
      </c>
      <c r="CZ87" s="265">
        <f t="shared" si="108"/>
        <v>0</v>
      </c>
      <c r="DA87" s="265">
        <f t="shared" si="108"/>
        <v>0</v>
      </c>
      <c r="DB87" s="265">
        <f t="shared" si="108"/>
        <v>0</v>
      </c>
      <c r="DC87" s="21" t="s">
        <v>11</v>
      </c>
    </row>
    <row r="88" spans="2:107">
      <c r="S88" s="255"/>
      <c r="T88" s="9" t="s">
        <v>187</v>
      </c>
      <c r="U88" s="264">
        <f t="shared" si="104"/>
        <v>40729.694593077758</v>
      </c>
      <c r="V88" s="263"/>
      <c r="W88" s="265">
        <f>+MAX(SUM(W84:W87),0)</f>
        <v>0</v>
      </c>
      <c r="X88" s="265">
        <f t="shared" ref="X88:CI88" si="109">+MAX(SUM(X84:X87),0)</f>
        <v>0</v>
      </c>
      <c r="Y88" s="265">
        <f t="shared" si="109"/>
        <v>0</v>
      </c>
      <c r="Z88" s="265">
        <f t="shared" si="109"/>
        <v>0</v>
      </c>
      <c r="AA88" s="265">
        <f t="shared" si="109"/>
        <v>0</v>
      </c>
      <c r="AB88" s="265">
        <f t="shared" si="109"/>
        <v>0</v>
      </c>
      <c r="AC88" s="265">
        <f t="shared" si="109"/>
        <v>0</v>
      </c>
      <c r="AD88" s="265">
        <f t="shared" si="109"/>
        <v>40729.694593077758</v>
      </c>
      <c r="AE88" s="265">
        <f t="shared" si="109"/>
        <v>0</v>
      </c>
      <c r="AF88" s="265">
        <f t="shared" si="109"/>
        <v>0</v>
      </c>
      <c r="AG88" s="265">
        <f t="shared" si="109"/>
        <v>0</v>
      </c>
      <c r="AH88" s="265">
        <f t="shared" si="109"/>
        <v>0</v>
      </c>
      <c r="AI88" s="265">
        <f t="shared" si="109"/>
        <v>0</v>
      </c>
      <c r="AJ88" s="265">
        <f t="shared" si="109"/>
        <v>0</v>
      </c>
      <c r="AK88" s="265">
        <f t="shared" si="109"/>
        <v>0</v>
      </c>
      <c r="AL88" s="265">
        <f t="shared" si="109"/>
        <v>0</v>
      </c>
      <c r="AM88" s="265">
        <f t="shared" si="109"/>
        <v>0</v>
      </c>
      <c r="AN88" s="265">
        <f t="shared" si="109"/>
        <v>0</v>
      </c>
      <c r="AO88" s="265">
        <f t="shared" si="109"/>
        <v>0</v>
      </c>
      <c r="AP88" s="265">
        <f t="shared" si="109"/>
        <v>0</v>
      </c>
      <c r="AQ88" s="265">
        <f t="shared" si="109"/>
        <v>0</v>
      </c>
      <c r="AR88" s="265">
        <f t="shared" si="109"/>
        <v>0</v>
      </c>
      <c r="AS88" s="265">
        <f t="shared" si="109"/>
        <v>0</v>
      </c>
      <c r="AT88" s="265">
        <f t="shared" si="109"/>
        <v>0</v>
      </c>
      <c r="AU88" s="265">
        <f t="shared" si="109"/>
        <v>0</v>
      </c>
      <c r="AV88" s="265">
        <f t="shared" si="109"/>
        <v>0</v>
      </c>
      <c r="AW88" s="265">
        <f t="shared" si="109"/>
        <v>0</v>
      </c>
      <c r="AX88" s="265">
        <f t="shared" si="109"/>
        <v>0</v>
      </c>
      <c r="AY88" s="265">
        <f t="shared" si="109"/>
        <v>0</v>
      </c>
      <c r="AZ88" s="265">
        <f t="shared" si="109"/>
        <v>0</v>
      </c>
      <c r="BA88" s="265">
        <f t="shared" si="109"/>
        <v>0</v>
      </c>
      <c r="BB88" s="265">
        <f t="shared" si="109"/>
        <v>0</v>
      </c>
      <c r="BC88" s="265">
        <f t="shared" si="109"/>
        <v>0</v>
      </c>
      <c r="BD88" s="265">
        <f t="shared" si="109"/>
        <v>0</v>
      </c>
      <c r="BE88" s="265">
        <f t="shared" si="109"/>
        <v>0</v>
      </c>
      <c r="BF88" s="265">
        <f t="shared" si="109"/>
        <v>0</v>
      </c>
      <c r="BG88" s="265">
        <f t="shared" si="109"/>
        <v>0</v>
      </c>
      <c r="BH88" s="265">
        <f t="shared" si="109"/>
        <v>0</v>
      </c>
      <c r="BI88" s="265">
        <f t="shared" si="109"/>
        <v>0</v>
      </c>
      <c r="BJ88" s="265">
        <f t="shared" si="109"/>
        <v>0</v>
      </c>
      <c r="BK88" s="265">
        <f t="shared" si="109"/>
        <v>0</v>
      </c>
      <c r="BL88" s="265">
        <f t="shared" si="109"/>
        <v>0</v>
      </c>
      <c r="BM88" s="265">
        <f t="shared" si="109"/>
        <v>0</v>
      </c>
      <c r="BN88" s="265">
        <f t="shared" si="109"/>
        <v>0</v>
      </c>
      <c r="BO88" s="265">
        <f t="shared" si="109"/>
        <v>0</v>
      </c>
      <c r="BP88" s="265">
        <f t="shared" si="109"/>
        <v>0</v>
      </c>
      <c r="BQ88" s="265">
        <f t="shared" si="109"/>
        <v>0</v>
      </c>
      <c r="BR88" s="265">
        <f t="shared" si="109"/>
        <v>0</v>
      </c>
      <c r="BS88" s="265">
        <f t="shared" si="109"/>
        <v>0</v>
      </c>
      <c r="BT88" s="265">
        <f t="shared" si="109"/>
        <v>0</v>
      </c>
      <c r="BU88" s="265">
        <f t="shared" si="109"/>
        <v>0</v>
      </c>
      <c r="BV88" s="265">
        <f t="shared" si="109"/>
        <v>0</v>
      </c>
      <c r="BW88" s="265">
        <f t="shared" si="109"/>
        <v>0</v>
      </c>
      <c r="BX88" s="265">
        <f t="shared" si="109"/>
        <v>0</v>
      </c>
      <c r="BY88" s="265">
        <f t="shared" si="109"/>
        <v>0</v>
      </c>
      <c r="BZ88" s="265">
        <f t="shared" si="109"/>
        <v>0</v>
      </c>
      <c r="CA88" s="265">
        <f t="shared" si="109"/>
        <v>0</v>
      </c>
      <c r="CB88" s="265">
        <f t="shared" si="109"/>
        <v>0</v>
      </c>
      <c r="CC88" s="265">
        <f t="shared" si="109"/>
        <v>0</v>
      </c>
      <c r="CD88" s="265">
        <f t="shared" si="109"/>
        <v>0</v>
      </c>
      <c r="CE88" s="265">
        <f t="shared" si="109"/>
        <v>0</v>
      </c>
      <c r="CF88" s="265">
        <f t="shared" si="109"/>
        <v>0</v>
      </c>
      <c r="CG88" s="265">
        <f t="shared" si="109"/>
        <v>0</v>
      </c>
      <c r="CH88" s="265">
        <f t="shared" si="109"/>
        <v>0</v>
      </c>
      <c r="CI88" s="265">
        <f t="shared" si="109"/>
        <v>0</v>
      </c>
      <c r="CJ88" s="265">
        <f t="shared" ref="CJ88:DB88" si="110">+MAX(SUM(CJ84:CJ87),0)</f>
        <v>0</v>
      </c>
      <c r="CK88" s="265">
        <f t="shared" si="110"/>
        <v>0</v>
      </c>
      <c r="CL88" s="265">
        <f t="shared" si="110"/>
        <v>0</v>
      </c>
      <c r="CM88" s="265">
        <f t="shared" si="110"/>
        <v>0</v>
      </c>
      <c r="CN88" s="265">
        <f t="shared" si="110"/>
        <v>0</v>
      </c>
      <c r="CO88" s="265">
        <f t="shared" si="110"/>
        <v>0</v>
      </c>
      <c r="CP88" s="265">
        <f t="shared" si="110"/>
        <v>0</v>
      </c>
      <c r="CQ88" s="265">
        <f t="shared" si="110"/>
        <v>0</v>
      </c>
      <c r="CR88" s="265">
        <f t="shared" si="110"/>
        <v>0</v>
      </c>
      <c r="CS88" s="265">
        <f t="shared" si="110"/>
        <v>0</v>
      </c>
      <c r="CT88" s="265">
        <f t="shared" si="110"/>
        <v>0</v>
      </c>
      <c r="CU88" s="265">
        <f t="shared" si="110"/>
        <v>0</v>
      </c>
      <c r="CV88" s="265">
        <f t="shared" si="110"/>
        <v>0</v>
      </c>
      <c r="CW88" s="265">
        <f t="shared" si="110"/>
        <v>0</v>
      </c>
      <c r="CX88" s="265">
        <f t="shared" si="110"/>
        <v>0</v>
      </c>
      <c r="CY88" s="265">
        <f t="shared" si="110"/>
        <v>0</v>
      </c>
      <c r="CZ88" s="265">
        <f t="shared" si="110"/>
        <v>0</v>
      </c>
      <c r="DA88" s="265">
        <f t="shared" si="110"/>
        <v>0</v>
      </c>
      <c r="DB88" s="265">
        <f t="shared" si="110"/>
        <v>0</v>
      </c>
      <c r="DC88" s="21" t="s">
        <v>11</v>
      </c>
    </row>
    <row r="89" spans="2:107">
      <c r="I89" s="21"/>
      <c r="S89" s="255"/>
      <c r="T89" s="9" t="s">
        <v>188</v>
      </c>
      <c r="U89" s="264">
        <f t="shared" si="104"/>
        <v>-14255.393107577214</v>
      </c>
      <c r="V89" s="263"/>
      <c r="W89" s="265">
        <f>-W88*$N$31</f>
        <v>0</v>
      </c>
      <c r="X89" s="265">
        <f t="shared" ref="X89:CI89" si="111">-X88*$N$31</f>
        <v>0</v>
      </c>
      <c r="Y89" s="265">
        <f t="shared" si="111"/>
        <v>0</v>
      </c>
      <c r="Z89" s="265">
        <f t="shared" si="111"/>
        <v>0</v>
      </c>
      <c r="AA89" s="265">
        <f t="shared" si="111"/>
        <v>0</v>
      </c>
      <c r="AB89" s="265">
        <f t="shared" si="111"/>
        <v>0</v>
      </c>
      <c r="AC89" s="265">
        <f t="shared" si="111"/>
        <v>0</v>
      </c>
      <c r="AD89" s="265">
        <f t="shared" si="111"/>
        <v>-14255.393107577214</v>
      </c>
      <c r="AE89" s="265">
        <f t="shared" si="111"/>
        <v>0</v>
      </c>
      <c r="AF89" s="265">
        <f t="shared" si="111"/>
        <v>0</v>
      </c>
      <c r="AG89" s="265">
        <f t="shared" si="111"/>
        <v>0</v>
      </c>
      <c r="AH89" s="265">
        <f t="shared" si="111"/>
        <v>0</v>
      </c>
      <c r="AI89" s="265">
        <f t="shared" si="111"/>
        <v>0</v>
      </c>
      <c r="AJ89" s="265">
        <f t="shared" si="111"/>
        <v>0</v>
      </c>
      <c r="AK89" s="265">
        <f t="shared" si="111"/>
        <v>0</v>
      </c>
      <c r="AL89" s="265">
        <f t="shared" si="111"/>
        <v>0</v>
      </c>
      <c r="AM89" s="265">
        <f t="shared" si="111"/>
        <v>0</v>
      </c>
      <c r="AN89" s="265">
        <f t="shared" si="111"/>
        <v>0</v>
      </c>
      <c r="AO89" s="265">
        <f t="shared" si="111"/>
        <v>0</v>
      </c>
      <c r="AP89" s="265">
        <f t="shared" si="111"/>
        <v>0</v>
      </c>
      <c r="AQ89" s="265">
        <f t="shared" si="111"/>
        <v>0</v>
      </c>
      <c r="AR89" s="265">
        <f t="shared" si="111"/>
        <v>0</v>
      </c>
      <c r="AS89" s="265">
        <f t="shared" si="111"/>
        <v>0</v>
      </c>
      <c r="AT89" s="265">
        <f t="shared" si="111"/>
        <v>0</v>
      </c>
      <c r="AU89" s="265">
        <f t="shared" si="111"/>
        <v>0</v>
      </c>
      <c r="AV89" s="265">
        <f t="shared" si="111"/>
        <v>0</v>
      </c>
      <c r="AW89" s="265">
        <f t="shared" si="111"/>
        <v>0</v>
      </c>
      <c r="AX89" s="265">
        <f t="shared" si="111"/>
        <v>0</v>
      </c>
      <c r="AY89" s="265">
        <f t="shared" si="111"/>
        <v>0</v>
      </c>
      <c r="AZ89" s="265">
        <f t="shared" si="111"/>
        <v>0</v>
      </c>
      <c r="BA89" s="265">
        <f t="shared" si="111"/>
        <v>0</v>
      </c>
      <c r="BB89" s="265">
        <f t="shared" si="111"/>
        <v>0</v>
      </c>
      <c r="BC89" s="265">
        <f t="shared" si="111"/>
        <v>0</v>
      </c>
      <c r="BD89" s="265">
        <f t="shared" si="111"/>
        <v>0</v>
      </c>
      <c r="BE89" s="265">
        <f t="shared" si="111"/>
        <v>0</v>
      </c>
      <c r="BF89" s="265">
        <f t="shared" si="111"/>
        <v>0</v>
      </c>
      <c r="BG89" s="265">
        <f t="shared" si="111"/>
        <v>0</v>
      </c>
      <c r="BH89" s="265">
        <f t="shared" si="111"/>
        <v>0</v>
      </c>
      <c r="BI89" s="265">
        <f t="shared" si="111"/>
        <v>0</v>
      </c>
      <c r="BJ89" s="265">
        <f t="shared" si="111"/>
        <v>0</v>
      </c>
      <c r="BK89" s="265">
        <f t="shared" si="111"/>
        <v>0</v>
      </c>
      <c r="BL89" s="265">
        <f t="shared" si="111"/>
        <v>0</v>
      </c>
      <c r="BM89" s="265">
        <f t="shared" si="111"/>
        <v>0</v>
      </c>
      <c r="BN89" s="265">
        <f t="shared" si="111"/>
        <v>0</v>
      </c>
      <c r="BO89" s="265">
        <f t="shared" si="111"/>
        <v>0</v>
      </c>
      <c r="BP89" s="265">
        <f t="shared" si="111"/>
        <v>0</v>
      </c>
      <c r="BQ89" s="265">
        <f t="shared" si="111"/>
        <v>0</v>
      </c>
      <c r="BR89" s="265">
        <f t="shared" si="111"/>
        <v>0</v>
      </c>
      <c r="BS89" s="265">
        <f t="shared" si="111"/>
        <v>0</v>
      </c>
      <c r="BT89" s="265">
        <f t="shared" si="111"/>
        <v>0</v>
      </c>
      <c r="BU89" s="265">
        <f t="shared" si="111"/>
        <v>0</v>
      </c>
      <c r="BV89" s="265">
        <f t="shared" si="111"/>
        <v>0</v>
      </c>
      <c r="BW89" s="265">
        <f t="shared" si="111"/>
        <v>0</v>
      </c>
      <c r="BX89" s="265">
        <f t="shared" si="111"/>
        <v>0</v>
      </c>
      <c r="BY89" s="265">
        <f t="shared" si="111"/>
        <v>0</v>
      </c>
      <c r="BZ89" s="265">
        <f t="shared" si="111"/>
        <v>0</v>
      </c>
      <c r="CA89" s="265">
        <f t="shared" si="111"/>
        <v>0</v>
      </c>
      <c r="CB89" s="265">
        <f t="shared" si="111"/>
        <v>0</v>
      </c>
      <c r="CC89" s="265">
        <f t="shared" si="111"/>
        <v>0</v>
      </c>
      <c r="CD89" s="265">
        <f t="shared" si="111"/>
        <v>0</v>
      </c>
      <c r="CE89" s="265">
        <f t="shared" si="111"/>
        <v>0</v>
      </c>
      <c r="CF89" s="265">
        <f t="shared" si="111"/>
        <v>0</v>
      </c>
      <c r="CG89" s="265">
        <f t="shared" si="111"/>
        <v>0</v>
      </c>
      <c r="CH89" s="265">
        <f t="shared" si="111"/>
        <v>0</v>
      </c>
      <c r="CI89" s="265">
        <f t="shared" si="111"/>
        <v>0</v>
      </c>
      <c r="CJ89" s="265">
        <f t="shared" ref="CJ89:DB89" si="112">-CJ88*$N$31</f>
        <v>0</v>
      </c>
      <c r="CK89" s="265">
        <f t="shared" si="112"/>
        <v>0</v>
      </c>
      <c r="CL89" s="265">
        <f t="shared" si="112"/>
        <v>0</v>
      </c>
      <c r="CM89" s="265">
        <f t="shared" si="112"/>
        <v>0</v>
      </c>
      <c r="CN89" s="265">
        <f t="shared" si="112"/>
        <v>0</v>
      </c>
      <c r="CO89" s="265">
        <f t="shared" si="112"/>
        <v>0</v>
      </c>
      <c r="CP89" s="265">
        <f t="shared" si="112"/>
        <v>0</v>
      </c>
      <c r="CQ89" s="265">
        <f t="shared" si="112"/>
        <v>0</v>
      </c>
      <c r="CR89" s="265">
        <f t="shared" si="112"/>
        <v>0</v>
      </c>
      <c r="CS89" s="265">
        <f t="shared" si="112"/>
        <v>0</v>
      </c>
      <c r="CT89" s="265">
        <f t="shared" si="112"/>
        <v>0</v>
      </c>
      <c r="CU89" s="265">
        <f t="shared" si="112"/>
        <v>0</v>
      </c>
      <c r="CV89" s="265">
        <f t="shared" si="112"/>
        <v>0</v>
      </c>
      <c r="CW89" s="265">
        <f t="shared" si="112"/>
        <v>0</v>
      </c>
      <c r="CX89" s="265">
        <f t="shared" si="112"/>
        <v>0</v>
      </c>
      <c r="CY89" s="265">
        <f t="shared" si="112"/>
        <v>0</v>
      </c>
      <c r="CZ89" s="265">
        <f t="shared" si="112"/>
        <v>0</v>
      </c>
      <c r="DA89" s="265">
        <f t="shared" si="112"/>
        <v>0</v>
      </c>
      <c r="DB89" s="265">
        <f t="shared" si="112"/>
        <v>0</v>
      </c>
      <c r="DC89" s="21" t="s">
        <v>11</v>
      </c>
    </row>
    <row r="90" spans="2:107">
      <c r="I90" s="21"/>
      <c r="L90" s="366" t="s">
        <v>165</v>
      </c>
      <c r="M90" s="366"/>
      <c r="N90" s="366"/>
      <c r="O90" s="366"/>
      <c r="P90" s="366"/>
      <c r="T90" s="266"/>
      <c r="U90" s="58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  <c r="BA90" s="59"/>
      <c r="BB90" s="59"/>
      <c r="BC90" s="59"/>
      <c r="BD90" s="59"/>
      <c r="BE90" s="59"/>
      <c r="BF90" s="59"/>
      <c r="BG90" s="59"/>
      <c r="BH90" s="59"/>
      <c r="BI90" s="59"/>
      <c r="BJ90" s="59"/>
      <c r="BK90" s="59"/>
      <c r="BL90" s="59"/>
      <c r="BM90" s="59"/>
      <c r="BN90" s="59"/>
      <c r="BO90" s="59"/>
      <c r="BP90" s="59"/>
      <c r="BQ90" s="59"/>
      <c r="BR90" s="59"/>
      <c r="BS90" s="59"/>
      <c r="BT90" s="59"/>
      <c r="BU90" s="59"/>
      <c r="BV90" s="59"/>
      <c r="BW90" s="59"/>
      <c r="BX90" s="59"/>
      <c r="BY90" s="59"/>
      <c r="BZ90" s="59"/>
      <c r="CA90" s="59"/>
      <c r="CB90" s="59"/>
      <c r="CC90" s="59"/>
      <c r="CD90" s="59"/>
      <c r="CE90" s="59"/>
      <c r="CF90" s="59"/>
      <c r="CG90" s="59"/>
      <c r="CH90" s="59"/>
      <c r="CI90" s="59"/>
      <c r="CJ90" s="59"/>
      <c r="CK90" s="59"/>
      <c r="CL90" s="59"/>
      <c r="CM90" s="59"/>
      <c r="CN90" s="59"/>
      <c r="CO90" s="59"/>
      <c r="CP90" s="59"/>
      <c r="CQ90" s="59"/>
      <c r="CR90" s="59"/>
      <c r="CS90" s="59"/>
      <c r="CT90" s="59"/>
      <c r="CU90" s="59"/>
      <c r="CV90" s="59"/>
      <c r="CW90" s="59"/>
      <c r="CX90" s="59"/>
      <c r="CY90" s="59"/>
      <c r="CZ90" s="59"/>
      <c r="DA90" s="59"/>
      <c r="DB90" s="59"/>
      <c r="DC90" s="21" t="s">
        <v>11</v>
      </c>
    </row>
    <row r="91" spans="2:107" ht="14.85" customHeight="1">
      <c r="I91" s="21"/>
      <c r="J91" s="228" t="s">
        <v>189</v>
      </c>
      <c r="K91" s="74"/>
      <c r="L91" s="73">
        <f>+L92*$D$22</f>
        <v>1158400</v>
      </c>
      <c r="M91" s="73">
        <f>+M92*$D$22</f>
        <v>1177600</v>
      </c>
      <c r="N91" s="73">
        <f>+N92*$D$22</f>
        <v>1196800</v>
      </c>
      <c r="O91" s="73">
        <f>+O92*$D$22</f>
        <v>1209600</v>
      </c>
      <c r="P91" s="73">
        <f>+P92*$D$22</f>
        <v>1222400</v>
      </c>
      <c r="T91" s="169" t="s">
        <v>190</v>
      </c>
      <c r="U91" s="267">
        <f>+SUM(V91:DB91)</f>
        <v>85123.580225756159</v>
      </c>
      <c r="V91" s="171"/>
      <c r="W91" s="171">
        <f>+W89+W67</f>
        <v>-39450</v>
      </c>
      <c r="X91" s="171">
        <f t="shared" ref="X91:CI91" si="113">+X89+X67</f>
        <v>-852822.16666666663</v>
      </c>
      <c r="Y91" s="171">
        <f t="shared" si="113"/>
        <v>-56679.166666666664</v>
      </c>
      <c r="Z91" s="171">
        <f t="shared" si="113"/>
        <v>-64679.166666666664</v>
      </c>
      <c r="AA91" s="171">
        <f t="shared" si="113"/>
        <v>-34409.186666666668</v>
      </c>
      <c r="AB91" s="171">
        <f t="shared" si="113"/>
        <v>-479.16666666666669</v>
      </c>
      <c r="AC91" s="171">
        <f t="shared" si="113"/>
        <v>-479.16666666666669</v>
      </c>
      <c r="AD91" s="171">
        <f t="shared" si="113"/>
        <v>1134121.6002257559</v>
      </c>
      <c r="AE91" s="171">
        <f t="shared" si="113"/>
        <v>0</v>
      </c>
      <c r="AF91" s="171">
        <f t="shared" si="113"/>
        <v>0</v>
      </c>
      <c r="AG91" s="171">
        <f t="shared" si="113"/>
        <v>0</v>
      </c>
      <c r="AH91" s="171">
        <f t="shared" si="113"/>
        <v>0</v>
      </c>
      <c r="AI91" s="171">
        <f t="shared" si="113"/>
        <v>0</v>
      </c>
      <c r="AJ91" s="171">
        <f t="shared" si="113"/>
        <v>0</v>
      </c>
      <c r="AK91" s="171">
        <f t="shared" si="113"/>
        <v>0</v>
      </c>
      <c r="AL91" s="171">
        <f t="shared" si="113"/>
        <v>0</v>
      </c>
      <c r="AM91" s="171">
        <f t="shared" si="113"/>
        <v>0</v>
      </c>
      <c r="AN91" s="171">
        <f t="shared" si="113"/>
        <v>0</v>
      </c>
      <c r="AO91" s="171">
        <f t="shared" si="113"/>
        <v>0</v>
      </c>
      <c r="AP91" s="171">
        <f t="shared" si="113"/>
        <v>0</v>
      </c>
      <c r="AQ91" s="171">
        <f t="shared" si="113"/>
        <v>0</v>
      </c>
      <c r="AR91" s="171">
        <f t="shared" si="113"/>
        <v>0</v>
      </c>
      <c r="AS91" s="171">
        <f t="shared" si="113"/>
        <v>0</v>
      </c>
      <c r="AT91" s="171">
        <f t="shared" si="113"/>
        <v>0</v>
      </c>
      <c r="AU91" s="171">
        <f t="shared" si="113"/>
        <v>0</v>
      </c>
      <c r="AV91" s="171">
        <f t="shared" si="113"/>
        <v>0</v>
      </c>
      <c r="AW91" s="171">
        <f t="shared" si="113"/>
        <v>0</v>
      </c>
      <c r="AX91" s="171">
        <f t="shared" si="113"/>
        <v>0</v>
      </c>
      <c r="AY91" s="171">
        <f t="shared" si="113"/>
        <v>0</v>
      </c>
      <c r="AZ91" s="171">
        <f t="shared" si="113"/>
        <v>0</v>
      </c>
      <c r="BA91" s="171">
        <f t="shared" si="113"/>
        <v>0</v>
      </c>
      <c r="BB91" s="171">
        <f t="shared" si="113"/>
        <v>0</v>
      </c>
      <c r="BC91" s="171">
        <f t="shared" si="113"/>
        <v>0</v>
      </c>
      <c r="BD91" s="171">
        <f t="shared" si="113"/>
        <v>0</v>
      </c>
      <c r="BE91" s="171">
        <f t="shared" si="113"/>
        <v>0</v>
      </c>
      <c r="BF91" s="171">
        <f t="shared" si="113"/>
        <v>0</v>
      </c>
      <c r="BG91" s="171">
        <f t="shared" si="113"/>
        <v>0</v>
      </c>
      <c r="BH91" s="171">
        <f t="shared" si="113"/>
        <v>0</v>
      </c>
      <c r="BI91" s="171">
        <f t="shared" si="113"/>
        <v>0</v>
      </c>
      <c r="BJ91" s="171">
        <f t="shared" si="113"/>
        <v>0</v>
      </c>
      <c r="BK91" s="171">
        <f t="shared" si="113"/>
        <v>0</v>
      </c>
      <c r="BL91" s="171">
        <f t="shared" si="113"/>
        <v>0</v>
      </c>
      <c r="BM91" s="171">
        <f t="shared" si="113"/>
        <v>0</v>
      </c>
      <c r="BN91" s="171">
        <f t="shared" si="113"/>
        <v>0</v>
      </c>
      <c r="BO91" s="171">
        <f t="shared" si="113"/>
        <v>0</v>
      </c>
      <c r="BP91" s="171">
        <f t="shared" si="113"/>
        <v>0</v>
      </c>
      <c r="BQ91" s="171">
        <f t="shared" si="113"/>
        <v>0</v>
      </c>
      <c r="BR91" s="171">
        <f t="shared" si="113"/>
        <v>0</v>
      </c>
      <c r="BS91" s="171">
        <f t="shared" si="113"/>
        <v>0</v>
      </c>
      <c r="BT91" s="171">
        <f t="shared" si="113"/>
        <v>0</v>
      </c>
      <c r="BU91" s="171">
        <f t="shared" si="113"/>
        <v>0</v>
      </c>
      <c r="BV91" s="171">
        <f t="shared" si="113"/>
        <v>0</v>
      </c>
      <c r="BW91" s="171">
        <f t="shared" si="113"/>
        <v>0</v>
      </c>
      <c r="BX91" s="171">
        <f t="shared" si="113"/>
        <v>0</v>
      </c>
      <c r="BY91" s="171">
        <f t="shared" si="113"/>
        <v>0</v>
      </c>
      <c r="BZ91" s="171">
        <f t="shared" si="113"/>
        <v>0</v>
      </c>
      <c r="CA91" s="171">
        <f t="shared" si="113"/>
        <v>0</v>
      </c>
      <c r="CB91" s="171">
        <f t="shared" si="113"/>
        <v>0</v>
      </c>
      <c r="CC91" s="171">
        <f t="shared" si="113"/>
        <v>0</v>
      </c>
      <c r="CD91" s="171">
        <f t="shared" si="113"/>
        <v>0</v>
      </c>
      <c r="CE91" s="171">
        <f t="shared" si="113"/>
        <v>0</v>
      </c>
      <c r="CF91" s="171">
        <f t="shared" si="113"/>
        <v>0</v>
      </c>
      <c r="CG91" s="171">
        <f t="shared" si="113"/>
        <v>0</v>
      </c>
      <c r="CH91" s="171">
        <f t="shared" si="113"/>
        <v>0</v>
      </c>
      <c r="CI91" s="171">
        <f t="shared" si="113"/>
        <v>0</v>
      </c>
      <c r="CJ91" s="171">
        <f t="shared" ref="CJ91:DB91" si="114">+CJ89+CJ67</f>
        <v>0</v>
      </c>
      <c r="CK91" s="171">
        <f t="shared" si="114"/>
        <v>0</v>
      </c>
      <c r="CL91" s="171">
        <f t="shared" si="114"/>
        <v>0</v>
      </c>
      <c r="CM91" s="171">
        <f t="shared" si="114"/>
        <v>0</v>
      </c>
      <c r="CN91" s="171">
        <f t="shared" si="114"/>
        <v>0</v>
      </c>
      <c r="CO91" s="171">
        <f t="shared" si="114"/>
        <v>0</v>
      </c>
      <c r="CP91" s="171">
        <f t="shared" si="114"/>
        <v>0</v>
      </c>
      <c r="CQ91" s="171">
        <f t="shared" si="114"/>
        <v>0</v>
      </c>
      <c r="CR91" s="171">
        <f t="shared" si="114"/>
        <v>0</v>
      </c>
      <c r="CS91" s="171">
        <f t="shared" si="114"/>
        <v>0</v>
      </c>
      <c r="CT91" s="171">
        <f t="shared" si="114"/>
        <v>0</v>
      </c>
      <c r="CU91" s="171">
        <f t="shared" si="114"/>
        <v>0</v>
      </c>
      <c r="CV91" s="171">
        <f t="shared" si="114"/>
        <v>0</v>
      </c>
      <c r="CW91" s="171">
        <f t="shared" si="114"/>
        <v>0</v>
      </c>
      <c r="CX91" s="171">
        <f t="shared" si="114"/>
        <v>0</v>
      </c>
      <c r="CY91" s="171">
        <f t="shared" si="114"/>
        <v>0</v>
      </c>
      <c r="CZ91" s="171">
        <f t="shared" si="114"/>
        <v>0</v>
      </c>
      <c r="DA91" s="171">
        <f t="shared" si="114"/>
        <v>0</v>
      </c>
      <c r="DB91" s="171">
        <f t="shared" si="114"/>
        <v>0</v>
      </c>
      <c r="DC91" s="21" t="s">
        <v>11</v>
      </c>
    </row>
    <row r="92" spans="2:107">
      <c r="I92" s="367" t="s">
        <v>179</v>
      </c>
      <c r="J92" s="48"/>
      <c r="K92" s="229">
        <f>+K82</f>
        <v>0.1770785629749298</v>
      </c>
      <c r="L92" s="56">
        <f>+L72</f>
        <v>9050</v>
      </c>
      <c r="M92" s="56">
        <f t="shared" ref="M92:P92" si="115">+M72</f>
        <v>9200</v>
      </c>
      <c r="N92" s="56">
        <f t="shared" si="115"/>
        <v>9350</v>
      </c>
      <c r="O92" s="56">
        <f t="shared" si="115"/>
        <v>9450</v>
      </c>
      <c r="P92" s="56">
        <f t="shared" si="115"/>
        <v>9550</v>
      </c>
      <c r="T92" s="18" t="s">
        <v>191</v>
      </c>
      <c r="U92" s="268">
        <f>+XIRR($W$91:$DB$91,$W$8:$DB$8)</f>
        <v>0.1770785629749298</v>
      </c>
      <c r="V92" s="174"/>
      <c r="W92" s="174"/>
      <c r="X92" s="174"/>
      <c r="Y92" s="174"/>
      <c r="Z92" s="174"/>
      <c r="AA92" s="174"/>
      <c r="AB92" s="174"/>
      <c r="AC92" s="174"/>
      <c r="AD92" s="174"/>
      <c r="AE92" s="174"/>
      <c r="AF92" s="174"/>
      <c r="AG92" s="174"/>
      <c r="AH92" s="174"/>
      <c r="AI92" s="174"/>
      <c r="AJ92" s="174"/>
      <c r="AK92" s="174"/>
      <c r="AL92" s="174"/>
      <c r="AM92" s="174"/>
      <c r="AN92" s="174"/>
      <c r="AO92" s="174"/>
      <c r="AP92" s="174"/>
      <c r="AQ92" s="174"/>
      <c r="AR92" s="174"/>
      <c r="AS92" s="174"/>
      <c r="AT92" s="174"/>
      <c r="AU92" s="174"/>
      <c r="AV92" s="174"/>
      <c r="AW92" s="174"/>
      <c r="AX92" s="174"/>
      <c r="AY92" s="174"/>
      <c r="AZ92" s="174"/>
      <c r="BA92" s="174"/>
      <c r="BB92" s="174"/>
      <c r="BC92" s="174"/>
      <c r="BD92" s="174"/>
      <c r="BE92" s="174"/>
      <c r="BF92" s="174"/>
      <c r="BG92" s="174"/>
      <c r="BH92" s="174"/>
      <c r="BI92" s="174"/>
      <c r="BJ92" s="174"/>
      <c r="BK92" s="174"/>
      <c r="BL92" s="174"/>
      <c r="BM92" s="174"/>
      <c r="BN92" s="174"/>
      <c r="BO92" s="174"/>
      <c r="BP92" s="174"/>
      <c r="BQ92" s="174"/>
      <c r="BR92" s="174"/>
      <c r="BS92" s="174"/>
      <c r="BT92" s="174"/>
      <c r="BU92" s="174"/>
      <c r="BV92" s="174"/>
      <c r="BW92" s="174"/>
      <c r="BX92" s="174"/>
      <c r="BY92" s="174"/>
      <c r="BZ92" s="174"/>
      <c r="CA92" s="174"/>
      <c r="CB92" s="174"/>
      <c r="CC92" s="174"/>
      <c r="CD92" s="174"/>
      <c r="CE92" s="174"/>
      <c r="CF92" s="174"/>
      <c r="CG92" s="174"/>
      <c r="CH92" s="174"/>
      <c r="CI92" s="174"/>
      <c r="CJ92" s="174"/>
      <c r="CK92" s="174"/>
      <c r="CL92" s="174"/>
      <c r="CM92" s="174"/>
      <c r="CN92" s="174"/>
      <c r="CO92" s="174"/>
      <c r="CP92" s="174"/>
      <c r="CQ92" s="174"/>
      <c r="CR92" s="174"/>
      <c r="CS92" s="174"/>
      <c r="CT92" s="174"/>
      <c r="CU92" s="174"/>
      <c r="CV92" s="174"/>
      <c r="CW92" s="174"/>
      <c r="CX92" s="174"/>
      <c r="CY92" s="174"/>
      <c r="CZ92" s="174"/>
      <c r="DA92" s="174"/>
      <c r="DB92" s="174"/>
      <c r="DC92" s="21" t="s">
        <v>11</v>
      </c>
    </row>
    <row r="93" spans="2:107">
      <c r="I93" s="367"/>
      <c r="J93" s="232">
        <f t="shared" ref="J93:J94" si="116">+K93+5</f>
        <v>10</v>
      </c>
      <c r="K93" s="233">
        <f>+K94+1</f>
        <v>5</v>
      </c>
      <c r="L93" s="61">
        <f t="dataTable" ref="L93:P97" dt2D="1" dtr="1" r1="O20" r2="N122" ca="1"/>
        <v>8.9839074015617373E-2</v>
      </c>
      <c r="M93" s="61">
        <v>0.11812341809272767</v>
      </c>
      <c r="N93" s="234">
        <v>0.13738122582435611</v>
      </c>
      <c r="O93" s="61">
        <v>0.14978914856910711</v>
      </c>
      <c r="P93" s="61">
        <v>0.16224383711814885</v>
      </c>
      <c r="S93" s="269"/>
      <c r="DC93" s="21" t="s">
        <v>11</v>
      </c>
    </row>
    <row r="94" spans="2:107">
      <c r="I94" s="367"/>
      <c r="J94" s="232">
        <f t="shared" si="116"/>
        <v>9</v>
      </c>
      <c r="K94" s="233">
        <f>+K95+1</f>
        <v>4</v>
      </c>
      <c r="L94" s="61">
        <v>0.10632613301277161</v>
      </c>
      <c r="M94" s="237">
        <v>0.13281905055046081</v>
      </c>
      <c r="N94" s="238">
        <v>0.15449708104133608</v>
      </c>
      <c r="O94" s="239">
        <v>0.16904757618904115</v>
      </c>
      <c r="P94" s="61">
        <v>0.18367670178413387</v>
      </c>
      <c r="S94" s="269"/>
      <c r="T94" s="57" t="s">
        <v>164</v>
      </c>
      <c r="U94" s="58">
        <f>+SUM(V94:DB94)</f>
        <v>-21280.89505643904</v>
      </c>
      <c r="V94" s="59">
        <f t="shared" ref="V94:CG94" si="117">+-V147*$M$25*$U$91</f>
        <v>0</v>
      </c>
      <c r="W94" s="59">
        <f t="shared" si="117"/>
        <v>0</v>
      </c>
      <c r="X94" s="59">
        <f t="shared" si="117"/>
        <v>0</v>
      </c>
      <c r="Y94" s="59">
        <f t="shared" si="117"/>
        <v>0</v>
      </c>
      <c r="Z94" s="59">
        <f t="shared" si="117"/>
        <v>0</v>
      </c>
      <c r="AA94" s="59">
        <f t="shared" si="117"/>
        <v>0</v>
      </c>
      <c r="AB94" s="59">
        <f t="shared" si="117"/>
        <v>0</v>
      </c>
      <c r="AC94" s="59">
        <f t="shared" si="117"/>
        <v>0</v>
      </c>
      <c r="AD94" s="59">
        <f t="shared" si="117"/>
        <v>-21280.89505643904</v>
      </c>
      <c r="AE94" s="59">
        <f t="shared" si="117"/>
        <v>0</v>
      </c>
      <c r="AF94" s="59">
        <f t="shared" si="117"/>
        <v>0</v>
      </c>
      <c r="AG94" s="59">
        <f t="shared" si="117"/>
        <v>0</v>
      </c>
      <c r="AH94" s="59">
        <f t="shared" si="117"/>
        <v>0</v>
      </c>
      <c r="AI94" s="59">
        <f t="shared" si="117"/>
        <v>0</v>
      </c>
      <c r="AJ94" s="59">
        <f t="shared" si="117"/>
        <v>0</v>
      </c>
      <c r="AK94" s="59">
        <f t="shared" si="117"/>
        <v>0</v>
      </c>
      <c r="AL94" s="59">
        <f t="shared" si="117"/>
        <v>0</v>
      </c>
      <c r="AM94" s="59">
        <f t="shared" si="117"/>
        <v>0</v>
      </c>
      <c r="AN94" s="59">
        <f t="shared" si="117"/>
        <v>0</v>
      </c>
      <c r="AO94" s="59">
        <f t="shared" si="117"/>
        <v>0</v>
      </c>
      <c r="AP94" s="59">
        <f t="shared" si="117"/>
        <v>0</v>
      </c>
      <c r="AQ94" s="59">
        <f t="shared" si="117"/>
        <v>0</v>
      </c>
      <c r="AR94" s="59">
        <f t="shared" si="117"/>
        <v>0</v>
      </c>
      <c r="AS94" s="59">
        <f t="shared" si="117"/>
        <v>0</v>
      </c>
      <c r="AT94" s="59">
        <f t="shared" si="117"/>
        <v>0</v>
      </c>
      <c r="AU94" s="59">
        <f t="shared" si="117"/>
        <v>0</v>
      </c>
      <c r="AV94" s="59">
        <f t="shared" si="117"/>
        <v>0</v>
      </c>
      <c r="AW94" s="59">
        <f t="shared" si="117"/>
        <v>0</v>
      </c>
      <c r="AX94" s="59">
        <f t="shared" si="117"/>
        <v>0</v>
      </c>
      <c r="AY94" s="59">
        <f t="shared" si="117"/>
        <v>0</v>
      </c>
      <c r="AZ94" s="59">
        <f t="shared" si="117"/>
        <v>0</v>
      </c>
      <c r="BA94" s="59">
        <f t="shared" si="117"/>
        <v>0</v>
      </c>
      <c r="BB94" s="59">
        <f t="shared" si="117"/>
        <v>0</v>
      </c>
      <c r="BC94" s="59">
        <f t="shared" si="117"/>
        <v>0</v>
      </c>
      <c r="BD94" s="59">
        <f t="shared" si="117"/>
        <v>0</v>
      </c>
      <c r="BE94" s="59">
        <f t="shared" si="117"/>
        <v>0</v>
      </c>
      <c r="BF94" s="59">
        <f t="shared" si="117"/>
        <v>0</v>
      </c>
      <c r="BG94" s="59">
        <f t="shared" si="117"/>
        <v>0</v>
      </c>
      <c r="BH94" s="59">
        <f t="shared" si="117"/>
        <v>0</v>
      </c>
      <c r="BI94" s="59">
        <f t="shared" si="117"/>
        <v>0</v>
      </c>
      <c r="BJ94" s="59">
        <f t="shared" si="117"/>
        <v>0</v>
      </c>
      <c r="BK94" s="59">
        <f t="shared" si="117"/>
        <v>0</v>
      </c>
      <c r="BL94" s="59">
        <f t="shared" si="117"/>
        <v>0</v>
      </c>
      <c r="BM94" s="59">
        <f t="shared" si="117"/>
        <v>0</v>
      </c>
      <c r="BN94" s="59">
        <f t="shared" si="117"/>
        <v>0</v>
      </c>
      <c r="BO94" s="59">
        <f t="shared" si="117"/>
        <v>0</v>
      </c>
      <c r="BP94" s="59">
        <f t="shared" si="117"/>
        <v>0</v>
      </c>
      <c r="BQ94" s="59">
        <f t="shared" si="117"/>
        <v>0</v>
      </c>
      <c r="BR94" s="59">
        <f t="shared" si="117"/>
        <v>0</v>
      </c>
      <c r="BS94" s="59">
        <f t="shared" si="117"/>
        <v>0</v>
      </c>
      <c r="BT94" s="59">
        <f t="shared" si="117"/>
        <v>0</v>
      </c>
      <c r="BU94" s="59">
        <f t="shared" si="117"/>
        <v>0</v>
      </c>
      <c r="BV94" s="59">
        <f t="shared" si="117"/>
        <v>0</v>
      </c>
      <c r="BW94" s="59">
        <f t="shared" si="117"/>
        <v>0</v>
      </c>
      <c r="BX94" s="59">
        <f t="shared" si="117"/>
        <v>0</v>
      </c>
      <c r="BY94" s="59">
        <f t="shared" si="117"/>
        <v>0</v>
      </c>
      <c r="BZ94" s="59">
        <f t="shared" si="117"/>
        <v>0</v>
      </c>
      <c r="CA94" s="59">
        <f t="shared" si="117"/>
        <v>0</v>
      </c>
      <c r="CB94" s="59">
        <f t="shared" si="117"/>
        <v>0</v>
      </c>
      <c r="CC94" s="59">
        <f t="shared" si="117"/>
        <v>0</v>
      </c>
      <c r="CD94" s="59">
        <f t="shared" si="117"/>
        <v>0</v>
      </c>
      <c r="CE94" s="59">
        <f t="shared" si="117"/>
        <v>0</v>
      </c>
      <c r="CF94" s="59">
        <f t="shared" si="117"/>
        <v>0</v>
      </c>
      <c r="CG94" s="59">
        <f t="shared" si="117"/>
        <v>0</v>
      </c>
      <c r="CH94" s="59">
        <f t="shared" ref="CH94:DB94" si="118">+-CH147*$M$25*$U$91</f>
        <v>0</v>
      </c>
      <c r="CI94" s="59">
        <f t="shared" si="118"/>
        <v>0</v>
      </c>
      <c r="CJ94" s="59">
        <f t="shared" si="118"/>
        <v>0</v>
      </c>
      <c r="CK94" s="59">
        <f t="shared" si="118"/>
        <v>0</v>
      </c>
      <c r="CL94" s="59">
        <f t="shared" si="118"/>
        <v>0</v>
      </c>
      <c r="CM94" s="59">
        <f t="shared" si="118"/>
        <v>0</v>
      </c>
      <c r="CN94" s="59">
        <f t="shared" si="118"/>
        <v>0</v>
      </c>
      <c r="CO94" s="59">
        <f t="shared" si="118"/>
        <v>0</v>
      </c>
      <c r="CP94" s="59">
        <f t="shared" si="118"/>
        <v>0</v>
      </c>
      <c r="CQ94" s="59">
        <f t="shared" si="118"/>
        <v>0</v>
      </c>
      <c r="CR94" s="59">
        <f t="shared" si="118"/>
        <v>0</v>
      </c>
      <c r="CS94" s="59">
        <f t="shared" si="118"/>
        <v>0</v>
      </c>
      <c r="CT94" s="59">
        <f t="shared" si="118"/>
        <v>0</v>
      </c>
      <c r="CU94" s="59">
        <f t="shared" si="118"/>
        <v>0</v>
      </c>
      <c r="CV94" s="59">
        <f t="shared" si="118"/>
        <v>0</v>
      </c>
      <c r="CW94" s="59">
        <f t="shared" si="118"/>
        <v>0</v>
      </c>
      <c r="CX94" s="59">
        <f t="shared" si="118"/>
        <v>0</v>
      </c>
      <c r="CY94" s="59">
        <f t="shared" si="118"/>
        <v>0</v>
      </c>
      <c r="CZ94" s="59">
        <f t="shared" si="118"/>
        <v>0</v>
      </c>
      <c r="DA94" s="59">
        <f t="shared" si="118"/>
        <v>0</v>
      </c>
      <c r="DB94" s="59">
        <f t="shared" si="118"/>
        <v>0</v>
      </c>
      <c r="DC94" s="21" t="s">
        <v>11</v>
      </c>
    </row>
    <row r="95" spans="2:107">
      <c r="I95" s="367"/>
      <c r="J95" s="232">
        <f>+K95+5</f>
        <v>8</v>
      </c>
      <c r="K95" s="240">
        <v>3</v>
      </c>
      <c r="L95" s="234">
        <v>0.12553977370262148</v>
      </c>
      <c r="M95" s="241">
        <v>0.15116128325462344</v>
      </c>
      <c r="N95" s="242">
        <v>0.1770785629749298</v>
      </c>
      <c r="O95" s="243">
        <v>0.19452114701271059</v>
      </c>
      <c r="P95" s="234">
        <v>0.21209527850151061</v>
      </c>
      <c r="S95" s="269"/>
      <c r="T95" s="178" t="s">
        <v>66</v>
      </c>
      <c r="U95" s="270"/>
      <c r="V95" s="271">
        <f>+V94</f>
        <v>0</v>
      </c>
      <c r="W95" s="271">
        <f t="shared" ref="W95:CH95" si="119">+W94</f>
        <v>0</v>
      </c>
      <c r="X95" s="271">
        <f t="shared" si="119"/>
        <v>0</v>
      </c>
      <c r="Y95" s="271">
        <f t="shared" si="119"/>
        <v>0</v>
      </c>
      <c r="Z95" s="271">
        <f t="shared" si="119"/>
        <v>0</v>
      </c>
      <c r="AA95" s="271">
        <f t="shared" si="119"/>
        <v>0</v>
      </c>
      <c r="AB95" s="271">
        <f t="shared" si="119"/>
        <v>0</v>
      </c>
      <c r="AC95" s="271">
        <f t="shared" si="119"/>
        <v>0</v>
      </c>
      <c r="AD95" s="271">
        <f t="shared" si="119"/>
        <v>-21280.89505643904</v>
      </c>
      <c r="AE95" s="271">
        <f t="shared" si="119"/>
        <v>0</v>
      </c>
      <c r="AF95" s="271">
        <f t="shared" si="119"/>
        <v>0</v>
      </c>
      <c r="AG95" s="271">
        <f t="shared" si="119"/>
        <v>0</v>
      </c>
      <c r="AH95" s="271">
        <f t="shared" si="119"/>
        <v>0</v>
      </c>
      <c r="AI95" s="271">
        <f t="shared" si="119"/>
        <v>0</v>
      </c>
      <c r="AJ95" s="271">
        <f t="shared" si="119"/>
        <v>0</v>
      </c>
      <c r="AK95" s="271">
        <f t="shared" si="119"/>
        <v>0</v>
      </c>
      <c r="AL95" s="271">
        <f t="shared" si="119"/>
        <v>0</v>
      </c>
      <c r="AM95" s="271">
        <f t="shared" si="119"/>
        <v>0</v>
      </c>
      <c r="AN95" s="271">
        <f t="shared" si="119"/>
        <v>0</v>
      </c>
      <c r="AO95" s="271">
        <f t="shared" si="119"/>
        <v>0</v>
      </c>
      <c r="AP95" s="271">
        <f t="shared" si="119"/>
        <v>0</v>
      </c>
      <c r="AQ95" s="271">
        <f t="shared" si="119"/>
        <v>0</v>
      </c>
      <c r="AR95" s="271">
        <f t="shared" si="119"/>
        <v>0</v>
      </c>
      <c r="AS95" s="271">
        <f t="shared" si="119"/>
        <v>0</v>
      </c>
      <c r="AT95" s="271">
        <f t="shared" si="119"/>
        <v>0</v>
      </c>
      <c r="AU95" s="271">
        <f t="shared" si="119"/>
        <v>0</v>
      </c>
      <c r="AV95" s="271">
        <f t="shared" si="119"/>
        <v>0</v>
      </c>
      <c r="AW95" s="271">
        <f t="shared" si="119"/>
        <v>0</v>
      </c>
      <c r="AX95" s="271">
        <f t="shared" si="119"/>
        <v>0</v>
      </c>
      <c r="AY95" s="271">
        <f t="shared" si="119"/>
        <v>0</v>
      </c>
      <c r="AZ95" s="271">
        <f t="shared" si="119"/>
        <v>0</v>
      </c>
      <c r="BA95" s="271">
        <f t="shared" si="119"/>
        <v>0</v>
      </c>
      <c r="BB95" s="271">
        <f t="shared" si="119"/>
        <v>0</v>
      </c>
      <c r="BC95" s="271">
        <f t="shared" si="119"/>
        <v>0</v>
      </c>
      <c r="BD95" s="271">
        <f t="shared" si="119"/>
        <v>0</v>
      </c>
      <c r="BE95" s="271">
        <f t="shared" si="119"/>
        <v>0</v>
      </c>
      <c r="BF95" s="271">
        <f t="shared" si="119"/>
        <v>0</v>
      </c>
      <c r="BG95" s="271">
        <f t="shared" si="119"/>
        <v>0</v>
      </c>
      <c r="BH95" s="271">
        <f t="shared" si="119"/>
        <v>0</v>
      </c>
      <c r="BI95" s="271">
        <f t="shared" si="119"/>
        <v>0</v>
      </c>
      <c r="BJ95" s="271">
        <f t="shared" si="119"/>
        <v>0</v>
      </c>
      <c r="BK95" s="271">
        <f t="shared" si="119"/>
        <v>0</v>
      </c>
      <c r="BL95" s="271">
        <f t="shared" si="119"/>
        <v>0</v>
      </c>
      <c r="BM95" s="271">
        <f t="shared" si="119"/>
        <v>0</v>
      </c>
      <c r="BN95" s="271">
        <f t="shared" si="119"/>
        <v>0</v>
      </c>
      <c r="BO95" s="271">
        <f t="shared" si="119"/>
        <v>0</v>
      </c>
      <c r="BP95" s="271">
        <f t="shared" si="119"/>
        <v>0</v>
      </c>
      <c r="BQ95" s="271">
        <f t="shared" si="119"/>
        <v>0</v>
      </c>
      <c r="BR95" s="271">
        <f t="shared" si="119"/>
        <v>0</v>
      </c>
      <c r="BS95" s="271">
        <f t="shared" si="119"/>
        <v>0</v>
      </c>
      <c r="BT95" s="271">
        <f t="shared" si="119"/>
        <v>0</v>
      </c>
      <c r="BU95" s="271">
        <f t="shared" si="119"/>
        <v>0</v>
      </c>
      <c r="BV95" s="271">
        <f t="shared" si="119"/>
        <v>0</v>
      </c>
      <c r="BW95" s="271">
        <f t="shared" si="119"/>
        <v>0</v>
      </c>
      <c r="BX95" s="271">
        <f t="shared" si="119"/>
        <v>0</v>
      </c>
      <c r="BY95" s="271">
        <f t="shared" si="119"/>
        <v>0</v>
      </c>
      <c r="BZ95" s="271">
        <f t="shared" si="119"/>
        <v>0</v>
      </c>
      <c r="CA95" s="271">
        <f t="shared" si="119"/>
        <v>0</v>
      </c>
      <c r="CB95" s="271">
        <f t="shared" si="119"/>
        <v>0</v>
      </c>
      <c r="CC95" s="271">
        <f t="shared" si="119"/>
        <v>0</v>
      </c>
      <c r="CD95" s="271">
        <f t="shared" si="119"/>
        <v>0</v>
      </c>
      <c r="CE95" s="271">
        <f t="shared" si="119"/>
        <v>0</v>
      </c>
      <c r="CF95" s="271">
        <f t="shared" si="119"/>
        <v>0</v>
      </c>
      <c r="CG95" s="271">
        <f t="shared" si="119"/>
        <v>0</v>
      </c>
      <c r="CH95" s="271">
        <f t="shared" si="119"/>
        <v>0</v>
      </c>
      <c r="CI95" s="271">
        <f t="shared" ref="CI95:DB95" si="120">+CI94</f>
        <v>0</v>
      </c>
      <c r="CJ95" s="271">
        <f t="shared" si="120"/>
        <v>0</v>
      </c>
      <c r="CK95" s="271">
        <f t="shared" si="120"/>
        <v>0</v>
      </c>
      <c r="CL95" s="271">
        <f t="shared" si="120"/>
        <v>0</v>
      </c>
      <c r="CM95" s="271">
        <f t="shared" si="120"/>
        <v>0</v>
      </c>
      <c r="CN95" s="271">
        <f t="shared" si="120"/>
        <v>0</v>
      </c>
      <c r="CO95" s="271">
        <f t="shared" si="120"/>
        <v>0</v>
      </c>
      <c r="CP95" s="271">
        <f t="shared" si="120"/>
        <v>0</v>
      </c>
      <c r="CQ95" s="271">
        <f t="shared" si="120"/>
        <v>0</v>
      </c>
      <c r="CR95" s="271">
        <f t="shared" si="120"/>
        <v>0</v>
      </c>
      <c r="CS95" s="271">
        <f t="shared" si="120"/>
        <v>0</v>
      </c>
      <c r="CT95" s="271">
        <f t="shared" si="120"/>
        <v>0</v>
      </c>
      <c r="CU95" s="271">
        <f t="shared" si="120"/>
        <v>0</v>
      </c>
      <c r="CV95" s="271">
        <f t="shared" si="120"/>
        <v>0</v>
      </c>
      <c r="CW95" s="271">
        <f t="shared" si="120"/>
        <v>0</v>
      </c>
      <c r="CX95" s="271">
        <f t="shared" si="120"/>
        <v>0</v>
      </c>
      <c r="CY95" s="271">
        <f t="shared" si="120"/>
        <v>0</v>
      </c>
      <c r="CZ95" s="271">
        <f t="shared" si="120"/>
        <v>0</v>
      </c>
      <c r="DA95" s="271">
        <f t="shared" si="120"/>
        <v>0</v>
      </c>
      <c r="DB95" s="271">
        <f t="shared" si="120"/>
        <v>0</v>
      </c>
      <c r="DC95" s="21" t="s">
        <v>11</v>
      </c>
    </row>
    <row r="96" spans="2:107">
      <c r="I96" s="367"/>
      <c r="J96" s="232">
        <f t="shared" ref="J96:J97" si="121">+K96+5</f>
        <v>7</v>
      </c>
      <c r="K96" s="233">
        <f>+K95-1</f>
        <v>2</v>
      </c>
      <c r="L96" s="61">
        <v>0.14711603522300723</v>
      </c>
      <c r="M96" s="247">
        <v>0.17901284098625186</v>
      </c>
      <c r="N96" s="248">
        <v>0.21143220067024232</v>
      </c>
      <c r="O96" s="249">
        <v>0.23333674073219302</v>
      </c>
      <c r="P96" s="61">
        <v>0.2554755032062529</v>
      </c>
      <c r="S96" s="269"/>
      <c r="U96" s="58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  <c r="BA96" s="59"/>
      <c r="BB96" s="59"/>
      <c r="BC96" s="59"/>
      <c r="BD96" s="59"/>
      <c r="BE96" s="59"/>
      <c r="BF96" s="59"/>
      <c r="BG96" s="59"/>
      <c r="BH96" s="59"/>
      <c r="BI96" s="59"/>
      <c r="BJ96" s="59"/>
      <c r="BK96" s="59"/>
      <c r="BL96" s="59"/>
      <c r="BM96" s="59"/>
      <c r="BN96" s="59"/>
      <c r="BO96" s="59"/>
      <c r="BP96" s="59"/>
      <c r="BQ96" s="59"/>
      <c r="BR96" s="59"/>
      <c r="BS96" s="59"/>
      <c r="BT96" s="59"/>
      <c r="BU96" s="59"/>
      <c r="BV96" s="59"/>
      <c r="BW96" s="59"/>
      <c r="BX96" s="59"/>
      <c r="BY96" s="59"/>
      <c r="BZ96" s="59"/>
      <c r="CA96" s="59"/>
      <c r="CB96" s="59"/>
      <c r="CC96" s="59"/>
      <c r="CD96" s="59"/>
      <c r="CE96" s="59"/>
      <c r="CF96" s="59"/>
      <c r="CG96" s="59"/>
      <c r="CH96" s="59"/>
      <c r="CI96" s="59"/>
      <c r="CJ96" s="59"/>
      <c r="CK96" s="59"/>
      <c r="CL96" s="59"/>
      <c r="CM96" s="59"/>
      <c r="CN96" s="59"/>
      <c r="CO96" s="59"/>
      <c r="CP96" s="59"/>
      <c r="CQ96" s="59"/>
      <c r="CR96" s="59"/>
      <c r="CS96" s="59"/>
      <c r="CT96" s="59"/>
      <c r="CU96" s="59"/>
      <c r="CV96" s="59"/>
      <c r="CW96" s="59"/>
      <c r="CX96" s="59"/>
      <c r="CY96" s="59"/>
      <c r="CZ96" s="59"/>
      <c r="DA96" s="59"/>
      <c r="DB96" s="59"/>
      <c r="DC96" s="21" t="s">
        <v>11</v>
      </c>
    </row>
    <row r="97" spans="2:137">
      <c r="I97" s="367"/>
      <c r="J97" s="232">
        <f t="shared" si="121"/>
        <v>6</v>
      </c>
      <c r="K97" s="233">
        <f>+K96-1</f>
        <v>1</v>
      </c>
      <c r="L97" s="61">
        <v>0.17971324324607854</v>
      </c>
      <c r="M97" s="61">
        <v>0.22140179276466368</v>
      </c>
      <c r="N97" s="234">
        <v>0.26407387852668762</v>
      </c>
      <c r="O97" s="61">
        <v>0.2930741727352143</v>
      </c>
      <c r="P97" s="61">
        <v>0.32252034544944774</v>
      </c>
      <c r="S97" s="269"/>
      <c r="T97" s="169" t="s">
        <v>192</v>
      </c>
      <c r="U97" s="272">
        <f>+SUM(V97:DB97)</f>
        <v>63842.685169317061</v>
      </c>
      <c r="V97" s="273">
        <f t="shared" ref="V97:CG97" si="122">+V91+V95</f>
        <v>0</v>
      </c>
      <c r="W97" s="273">
        <f t="shared" si="122"/>
        <v>-39450</v>
      </c>
      <c r="X97" s="273">
        <f t="shared" si="122"/>
        <v>-852822.16666666663</v>
      </c>
      <c r="Y97" s="273">
        <f t="shared" si="122"/>
        <v>-56679.166666666664</v>
      </c>
      <c r="Z97" s="273">
        <f t="shared" si="122"/>
        <v>-64679.166666666664</v>
      </c>
      <c r="AA97" s="273">
        <f t="shared" si="122"/>
        <v>-34409.186666666668</v>
      </c>
      <c r="AB97" s="273">
        <f t="shared" si="122"/>
        <v>-479.16666666666669</v>
      </c>
      <c r="AC97" s="273">
        <f t="shared" si="122"/>
        <v>-479.16666666666669</v>
      </c>
      <c r="AD97" s="273">
        <f t="shared" si="122"/>
        <v>1112840.7051693168</v>
      </c>
      <c r="AE97" s="273">
        <f t="shared" si="122"/>
        <v>0</v>
      </c>
      <c r="AF97" s="273">
        <f t="shared" si="122"/>
        <v>0</v>
      </c>
      <c r="AG97" s="273">
        <f t="shared" si="122"/>
        <v>0</v>
      </c>
      <c r="AH97" s="273">
        <f t="shared" si="122"/>
        <v>0</v>
      </c>
      <c r="AI97" s="273">
        <f t="shared" si="122"/>
        <v>0</v>
      </c>
      <c r="AJ97" s="273">
        <f t="shared" si="122"/>
        <v>0</v>
      </c>
      <c r="AK97" s="273">
        <f t="shared" si="122"/>
        <v>0</v>
      </c>
      <c r="AL97" s="273">
        <f t="shared" si="122"/>
        <v>0</v>
      </c>
      <c r="AM97" s="273">
        <f t="shared" si="122"/>
        <v>0</v>
      </c>
      <c r="AN97" s="273">
        <f t="shared" si="122"/>
        <v>0</v>
      </c>
      <c r="AO97" s="273">
        <f t="shared" si="122"/>
        <v>0</v>
      </c>
      <c r="AP97" s="273">
        <f t="shared" si="122"/>
        <v>0</v>
      </c>
      <c r="AQ97" s="273">
        <f t="shared" si="122"/>
        <v>0</v>
      </c>
      <c r="AR97" s="273">
        <f t="shared" si="122"/>
        <v>0</v>
      </c>
      <c r="AS97" s="273">
        <f t="shared" si="122"/>
        <v>0</v>
      </c>
      <c r="AT97" s="273">
        <f t="shared" si="122"/>
        <v>0</v>
      </c>
      <c r="AU97" s="273">
        <f t="shared" si="122"/>
        <v>0</v>
      </c>
      <c r="AV97" s="273">
        <f t="shared" si="122"/>
        <v>0</v>
      </c>
      <c r="AW97" s="273">
        <f t="shared" si="122"/>
        <v>0</v>
      </c>
      <c r="AX97" s="273">
        <f t="shared" si="122"/>
        <v>0</v>
      </c>
      <c r="AY97" s="273">
        <f t="shared" si="122"/>
        <v>0</v>
      </c>
      <c r="AZ97" s="273">
        <f t="shared" si="122"/>
        <v>0</v>
      </c>
      <c r="BA97" s="273">
        <f t="shared" si="122"/>
        <v>0</v>
      </c>
      <c r="BB97" s="273">
        <f t="shared" si="122"/>
        <v>0</v>
      </c>
      <c r="BC97" s="273">
        <f t="shared" si="122"/>
        <v>0</v>
      </c>
      <c r="BD97" s="273">
        <f t="shared" si="122"/>
        <v>0</v>
      </c>
      <c r="BE97" s="273">
        <f t="shared" si="122"/>
        <v>0</v>
      </c>
      <c r="BF97" s="273">
        <f t="shared" si="122"/>
        <v>0</v>
      </c>
      <c r="BG97" s="273">
        <f t="shared" si="122"/>
        <v>0</v>
      </c>
      <c r="BH97" s="273">
        <f t="shared" si="122"/>
        <v>0</v>
      </c>
      <c r="BI97" s="273">
        <f t="shared" si="122"/>
        <v>0</v>
      </c>
      <c r="BJ97" s="273">
        <f t="shared" si="122"/>
        <v>0</v>
      </c>
      <c r="BK97" s="273">
        <f t="shared" si="122"/>
        <v>0</v>
      </c>
      <c r="BL97" s="273">
        <f t="shared" si="122"/>
        <v>0</v>
      </c>
      <c r="BM97" s="273">
        <f t="shared" si="122"/>
        <v>0</v>
      </c>
      <c r="BN97" s="273">
        <f t="shared" si="122"/>
        <v>0</v>
      </c>
      <c r="BO97" s="273">
        <f t="shared" si="122"/>
        <v>0</v>
      </c>
      <c r="BP97" s="273">
        <f t="shared" si="122"/>
        <v>0</v>
      </c>
      <c r="BQ97" s="273">
        <f t="shared" si="122"/>
        <v>0</v>
      </c>
      <c r="BR97" s="273">
        <f t="shared" si="122"/>
        <v>0</v>
      </c>
      <c r="BS97" s="273">
        <f t="shared" si="122"/>
        <v>0</v>
      </c>
      <c r="BT97" s="273">
        <f t="shared" si="122"/>
        <v>0</v>
      </c>
      <c r="BU97" s="273">
        <f t="shared" si="122"/>
        <v>0</v>
      </c>
      <c r="BV97" s="273">
        <f t="shared" si="122"/>
        <v>0</v>
      </c>
      <c r="BW97" s="273">
        <f t="shared" si="122"/>
        <v>0</v>
      </c>
      <c r="BX97" s="273">
        <f t="shared" si="122"/>
        <v>0</v>
      </c>
      <c r="BY97" s="273">
        <f t="shared" si="122"/>
        <v>0</v>
      </c>
      <c r="BZ97" s="273">
        <f t="shared" si="122"/>
        <v>0</v>
      </c>
      <c r="CA97" s="273">
        <f t="shared" si="122"/>
        <v>0</v>
      </c>
      <c r="CB97" s="273">
        <f t="shared" si="122"/>
        <v>0</v>
      </c>
      <c r="CC97" s="273">
        <f t="shared" si="122"/>
        <v>0</v>
      </c>
      <c r="CD97" s="273">
        <f t="shared" si="122"/>
        <v>0</v>
      </c>
      <c r="CE97" s="273">
        <f t="shared" si="122"/>
        <v>0</v>
      </c>
      <c r="CF97" s="273">
        <f t="shared" si="122"/>
        <v>0</v>
      </c>
      <c r="CG97" s="273">
        <f t="shared" si="122"/>
        <v>0</v>
      </c>
      <c r="CH97" s="273">
        <f t="shared" ref="CH97:DB97" si="123">+CH91+CH95</f>
        <v>0</v>
      </c>
      <c r="CI97" s="273">
        <f t="shared" si="123"/>
        <v>0</v>
      </c>
      <c r="CJ97" s="273">
        <f t="shared" si="123"/>
        <v>0</v>
      </c>
      <c r="CK97" s="273">
        <f t="shared" si="123"/>
        <v>0</v>
      </c>
      <c r="CL97" s="273">
        <f t="shared" si="123"/>
        <v>0</v>
      </c>
      <c r="CM97" s="273">
        <f t="shared" si="123"/>
        <v>0</v>
      </c>
      <c r="CN97" s="273">
        <f t="shared" si="123"/>
        <v>0</v>
      </c>
      <c r="CO97" s="273">
        <f t="shared" si="123"/>
        <v>0</v>
      </c>
      <c r="CP97" s="273">
        <f t="shared" si="123"/>
        <v>0</v>
      </c>
      <c r="CQ97" s="273">
        <f t="shared" si="123"/>
        <v>0</v>
      </c>
      <c r="CR97" s="273">
        <f t="shared" si="123"/>
        <v>0</v>
      </c>
      <c r="CS97" s="273">
        <f t="shared" si="123"/>
        <v>0</v>
      </c>
      <c r="CT97" s="273">
        <f t="shared" si="123"/>
        <v>0</v>
      </c>
      <c r="CU97" s="273">
        <f t="shared" si="123"/>
        <v>0</v>
      </c>
      <c r="CV97" s="273">
        <f t="shared" si="123"/>
        <v>0</v>
      </c>
      <c r="CW97" s="273">
        <f t="shared" si="123"/>
        <v>0</v>
      </c>
      <c r="CX97" s="273">
        <f t="shared" si="123"/>
        <v>0</v>
      </c>
      <c r="CY97" s="273">
        <f t="shared" si="123"/>
        <v>0</v>
      </c>
      <c r="CZ97" s="273">
        <f t="shared" si="123"/>
        <v>0</v>
      </c>
      <c r="DA97" s="273">
        <f t="shared" si="123"/>
        <v>0</v>
      </c>
      <c r="DB97" s="273">
        <f t="shared" si="123"/>
        <v>0</v>
      </c>
      <c r="DC97" s="21" t="s">
        <v>11</v>
      </c>
    </row>
    <row r="98" spans="2:137">
      <c r="S98" s="269"/>
      <c r="T98" s="18" t="s">
        <v>193</v>
      </c>
      <c r="U98" s="268">
        <f>+XIRR($W$97:$DB$97,$W$8:$DB$8)</f>
        <v>0.1314210832118988</v>
      </c>
      <c r="V98" s="274"/>
      <c r="W98" s="274"/>
      <c r="X98" s="274"/>
      <c r="Y98" s="274"/>
      <c r="Z98" s="274"/>
      <c r="AA98" s="274"/>
      <c r="AB98" s="274"/>
      <c r="AC98" s="274"/>
      <c r="AD98" s="274"/>
      <c r="AE98" s="274"/>
      <c r="AF98" s="274"/>
      <c r="AG98" s="274"/>
      <c r="AH98" s="274"/>
      <c r="AI98" s="274"/>
      <c r="AJ98" s="274"/>
      <c r="AK98" s="274"/>
      <c r="AL98" s="274"/>
      <c r="AM98" s="274"/>
      <c r="AN98" s="274"/>
      <c r="AO98" s="274"/>
      <c r="AP98" s="274"/>
      <c r="AQ98" s="274"/>
      <c r="AR98" s="274"/>
      <c r="AS98" s="274"/>
      <c r="AT98" s="274"/>
      <c r="AU98" s="274"/>
      <c r="AV98" s="274"/>
      <c r="AW98" s="274"/>
      <c r="AX98" s="274"/>
      <c r="AY98" s="274"/>
      <c r="AZ98" s="274"/>
      <c r="BA98" s="274"/>
      <c r="BB98" s="274"/>
      <c r="BC98" s="274"/>
      <c r="BD98" s="274"/>
      <c r="BE98" s="274"/>
      <c r="BF98" s="274"/>
      <c r="BG98" s="274"/>
      <c r="BH98" s="274"/>
      <c r="BI98" s="274"/>
      <c r="BJ98" s="274"/>
      <c r="BK98" s="274"/>
      <c r="BL98" s="274"/>
      <c r="BM98" s="274"/>
      <c r="BN98" s="274"/>
      <c r="BO98" s="274"/>
      <c r="BP98" s="274"/>
      <c r="BQ98" s="274"/>
      <c r="BR98" s="274"/>
      <c r="BS98" s="274"/>
      <c r="BT98" s="274"/>
      <c r="BU98" s="274"/>
      <c r="BV98" s="274"/>
      <c r="BW98" s="274"/>
      <c r="BX98" s="274"/>
      <c r="BY98" s="274"/>
      <c r="BZ98" s="274"/>
      <c r="CA98" s="274"/>
      <c r="CB98" s="274"/>
      <c r="CC98" s="274"/>
      <c r="CD98" s="274"/>
      <c r="CE98" s="274"/>
      <c r="CF98" s="274"/>
      <c r="CG98" s="274"/>
      <c r="CH98" s="274"/>
      <c r="CI98" s="274"/>
      <c r="CJ98" s="274"/>
      <c r="CK98" s="274"/>
      <c r="CL98" s="274"/>
      <c r="CM98" s="274"/>
      <c r="CN98" s="274"/>
      <c r="CO98" s="274"/>
      <c r="CP98" s="274"/>
      <c r="CQ98" s="274"/>
      <c r="CR98" s="274"/>
      <c r="CS98" s="274"/>
      <c r="CT98" s="274"/>
      <c r="CU98" s="274"/>
      <c r="CV98" s="274"/>
      <c r="CW98" s="274"/>
      <c r="CX98" s="274"/>
      <c r="CY98" s="274"/>
      <c r="CZ98" s="274"/>
      <c r="DA98" s="274"/>
      <c r="DB98" s="274"/>
      <c r="DC98" s="21" t="s">
        <v>11</v>
      </c>
    </row>
    <row r="99" spans="2:137">
      <c r="I99" s="21"/>
      <c r="L99" s="366" t="s">
        <v>165</v>
      </c>
      <c r="M99" s="366"/>
      <c r="N99" s="366"/>
      <c r="O99" s="366"/>
      <c r="P99" s="366"/>
      <c r="S99" s="269"/>
      <c r="T99" s="57"/>
      <c r="U99" s="58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  <c r="BA99" s="59"/>
      <c r="BB99" s="59"/>
      <c r="BC99" s="59"/>
      <c r="BD99" s="59"/>
      <c r="BE99" s="59"/>
      <c r="BF99" s="59"/>
      <c r="BG99" s="59"/>
      <c r="BH99" s="59"/>
      <c r="BI99" s="59"/>
      <c r="BJ99" s="59"/>
      <c r="BK99" s="59"/>
      <c r="BL99" s="59"/>
      <c r="BM99" s="59"/>
      <c r="BN99" s="59"/>
      <c r="BO99" s="59"/>
      <c r="BP99" s="59"/>
      <c r="BQ99" s="59"/>
      <c r="BR99" s="59"/>
      <c r="BS99" s="59"/>
      <c r="BT99" s="59"/>
      <c r="BU99" s="59"/>
      <c r="BV99" s="59"/>
      <c r="BW99" s="59"/>
      <c r="BX99" s="59"/>
      <c r="BY99" s="59"/>
      <c r="BZ99" s="59"/>
      <c r="CA99" s="59"/>
      <c r="CB99" s="59"/>
      <c r="CC99" s="59"/>
      <c r="CD99" s="59"/>
      <c r="CE99" s="59"/>
      <c r="CF99" s="59"/>
      <c r="CG99" s="59"/>
      <c r="CH99" s="59"/>
      <c r="CI99" s="59"/>
      <c r="CJ99" s="59"/>
      <c r="CK99" s="59"/>
      <c r="CL99" s="59"/>
      <c r="CM99" s="59"/>
      <c r="CN99" s="59"/>
      <c r="CO99" s="59"/>
      <c r="CP99" s="59"/>
      <c r="CQ99" s="59"/>
      <c r="CR99" s="59"/>
      <c r="CS99" s="59"/>
      <c r="CT99" s="59"/>
      <c r="CU99" s="59"/>
      <c r="CV99" s="59"/>
      <c r="CW99" s="59"/>
      <c r="CX99" s="59"/>
      <c r="CY99" s="59"/>
      <c r="CZ99" s="59"/>
      <c r="DA99" s="59"/>
      <c r="DB99" s="59"/>
      <c r="DC99" s="21" t="s">
        <v>11</v>
      </c>
    </row>
    <row r="100" spans="2:137">
      <c r="I100" s="21"/>
      <c r="J100" s="228"/>
      <c r="K100" s="74"/>
      <c r="L100" s="73">
        <f>+L101*$D$22</f>
        <v>1171200</v>
      </c>
      <c r="M100" s="73">
        <f>+M101*$D$22</f>
        <v>1184000</v>
      </c>
      <c r="N100" s="73">
        <f>+N101*$D$22</f>
        <v>1196800</v>
      </c>
      <c r="O100" s="73">
        <f>+O101*$D$22</f>
        <v>1209600</v>
      </c>
      <c r="P100" s="73">
        <f>+P101*$D$22</f>
        <v>1222400</v>
      </c>
      <c r="S100" s="269"/>
      <c r="T100" s="57" t="s">
        <v>194</v>
      </c>
      <c r="U100" s="58">
        <f>+SUM(V100:DB100)</f>
        <v>1112840.7051693168</v>
      </c>
      <c r="V100" s="59">
        <f>+MAX(V97,0)</f>
        <v>0</v>
      </c>
      <c r="W100" s="59">
        <f t="shared" ref="W100:CH100" si="124">+MAX(W97,0)</f>
        <v>0</v>
      </c>
      <c r="X100" s="59">
        <f t="shared" si="124"/>
        <v>0</v>
      </c>
      <c r="Y100" s="59">
        <f t="shared" si="124"/>
        <v>0</v>
      </c>
      <c r="Z100" s="59">
        <f t="shared" si="124"/>
        <v>0</v>
      </c>
      <c r="AA100" s="59">
        <f t="shared" si="124"/>
        <v>0</v>
      </c>
      <c r="AB100" s="59">
        <f t="shared" si="124"/>
        <v>0</v>
      </c>
      <c r="AC100" s="59">
        <f t="shared" si="124"/>
        <v>0</v>
      </c>
      <c r="AD100" s="59">
        <f t="shared" si="124"/>
        <v>1112840.7051693168</v>
      </c>
      <c r="AE100" s="59">
        <f t="shared" si="124"/>
        <v>0</v>
      </c>
      <c r="AF100" s="59">
        <f t="shared" si="124"/>
        <v>0</v>
      </c>
      <c r="AG100" s="59">
        <f t="shared" si="124"/>
        <v>0</v>
      </c>
      <c r="AH100" s="59">
        <f t="shared" si="124"/>
        <v>0</v>
      </c>
      <c r="AI100" s="59">
        <f t="shared" si="124"/>
        <v>0</v>
      </c>
      <c r="AJ100" s="59">
        <f t="shared" si="124"/>
        <v>0</v>
      </c>
      <c r="AK100" s="59">
        <f t="shared" si="124"/>
        <v>0</v>
      </c>
      <c r="AL100" s="59">
        <f t="shared" si="124"/>
        <v>0</v>
      </c>
      <c r="AM100" s="59">
        <f t="shared" si="124"/>
        <v>0</v>
      </c>
      <c r="AN100" s="59">
        <f t="shared" si="124"/>
        <v>0</v>
      </c>
      <c r="AO100" s="59">
        <f t="shared" si="124"/>
        <v>0</v>
      </c>
      <c r="AP100" s="59">
        <f t="shared" si="124"/>
        <v>0</v>
      </c>
      <c r="AQ100" s="59">
        <f t="shared" si="124"/>
        <v>0</v>
      </c>
      <c r="AR100" s="59">
        <f t="shared" si="124"/>
        <v>0</v>
      </c>
      <c r="AS100" s="59">
        <f t="shared" si="124"/>
        <v>0</v>
      </c>
      <c r="AT100" s="59">
        <f t="shared" si="124"/>
        <v>0</v>
      </c>
      <c r="AU100" s="59">
        <f t="shared" si="124"/>
        <v>0</v>
      </c>
      <c r="AV100" s="59">
        <f t="shared" si="124"/>
        <v>0</v>
      </c>
      <c r="AW100" s="59">
        <f t="shared" si="124"/>
        <v>0</v>
      </c>
      <c r="AX100" s="59">
        <f t="shared" si="124"/>
        <v>0</v>
      </c>
      <c r="AY100" s="59">
        <f t="shared" si="124"/>
        <v>0</v>
      </c>
      <c r="AZ100" s="59">
        <f t="shared" si="124"/>
        <v>0</v>
      </c>
      <c r="BA100" s="59">
        <f t="shared" si="124"/>
        <v>0</v>
      </c>
      <c r="BB100" s="59">
        <f t="shared" si="124"/>
        <v>0</v>
      </c>
      <c r="BC100" s="59">
        <f t="shared" si="124"/>
        <v>0</v>
      </c>
      <c r="BD100" s="59">
        <f t="shared" si="124"/>
        <v>0</v>
      </c>
      <c r="BE100" s="59">
        <f t="shared" si="124"/>
        <v>0</v>
      </c>
      <c r="BF100" s="59">
        <f t="shared" si="124"/>
        <v>0</v>
      </c>
      <c r="BG100" s="59">
        <f t="shared" si="124"/>
        <v>0</v>
      </c>
      <c r="BH100" s="59">
        <f t="shared" si="124"/>
        <v>0</v>
      </c>
      <c r="BI100" s="59">
        <f t="shared" si="124"/>
        <v>0</v>
      </c>
      <c r="BJ100" s="59">
        <f t="shared" si="124"/>
        <v>0</v>
      </c>
      <c r="BK100" s="59">
        <f t="shared" si="124"/>
        <v>0</v>
      </c>
      <c r="BL100" s="59">
        <f t="shared" si="124"/>
        <v>0</v>
      </c>
      <c r="BM100" s="59">
        <f t="shared" si="124"/>
        <v>0</v>
      </c>
      <c r="BN100" s="59">
        <f t="shared" si="124"/>
        <v>0</v>
      </c>
      <c r="BO100" s="59">
        <f t="shared" si="124"/>
        <v>0</v>
      </c>
      <c r="BP100" s="59">
        <f t="shared" si="124"/>
        <v>0</v>
      </c>
      <c r="BQ100" s="59">
        <f t="shared" si="124"/>
        <v>0</v>
      </c>
      <c r="BR100" s="59">
        <f t="shared" si="124"/>
        <v>0</v>
      </c>
      <c r="BS100" s="59">
        <f t="shared" si="124"/>
        <v>0</v>
      </c>
      <c r="BT100" s="59">
        <f t="shared" si="124"/>
        <v>0</v>
      </c>
      <c r="BU100" s="59">
        <f t="shared" si="124"/>
        <v>0</v>
      </c>
      <c r="BV100" s="59">
        <f t="shared" si="124"/>
        <v>0</v>
      </c>
      <c r="BW100" s="59">
        <f t="shared" si="124"/>
        <v>0</v>
      </c>
      <c r="BX100" s="59">
        <f t="shared" si="124"/>
        <v>0</v>
      </c>
      <c r="BY100" s="59">
        <f t="shared" si="124"/>
        <v>0</v>
      </c>
      <c r="BZ100" s="59">
        <f t="shared" si="124"/>
        <v>0</v>
      </c>
      <c r="CA100" s="59">
        <f t="shared" si="124"/>
        <v>0</v>
      </c>
      <c r="CB100" s="59">
        <f t="shared" si="124"/>
        <v>0</v>
      </c>
      <c r="CC100" s="59">
        <f t="shared" si="124"/>
        <v>0</v>
      </c>
      <c r="CD100" s="59">
        <f t="shared" si="124"/>
        <v>0</v>
      </c>
      <c r="CE100" s="59">
        <f t="shared" si="124"/>
        <v>0</v>
      </c>
      <c r="CF100" s="59">
        <f t="shared" si="124"/>
        <v>0</v>
      </c>
      <c r="CG100" s="59">
        <f t="shared" si="124"/>
        <v>0</v>
      </c>
      <c r="CH100" s="59">
        <f t="shared" si="124"/>
        <v>0</v>
      </c>
      <c r="CI100" s="59">
        <f t="shared" ref="CI100:DB100" si="125">+MAX(CI97,0)</f>
        <v>0</v>
      </c>
      <c r="CJ100" s="59">
        <f t="shared" si="125"/>
        <v>0</v>
      </c>
      <c r="CK100" s="59">
        <f t="shared" si="125"/>
        <v>0</v>
      </c>
      <c r="CL100" s="59">
        <f t="shared" si="125"/>
        <v>0</v>
      </c>
      <c r="CM100" s="59">
        <f t="shared" si="125"/>
        <v>0</v>
      </c>
      <c r="CN100" s="59">
        <f t="shared" si="125"/>
        <v>0</v>
      </c>
      <c r="CO100" s="59">
        <f t="shared" si="125"/>
        <v>0</v>
      </c>
      <c r="CP100" s="59">
        <f t="shared" si="125"/>
        <v>0</v>
      </c>
      <c r="CQ100" s="59">
        <f t="shared" si="125"/>
        <v>0</v>
      </c>
      <c r="CR100" s="59">
        <f t="shared" si="125"/>
        <v>0</v>
      </c>
      <c r="CS100" s="59">
        <f t="shared" si="125"/>
        <v>0</v>
      </c>
      <c r="CT100" s="59">
        <f t="shared" si="125"/>
        <v>0</v>
      </c>
      <c r="CU100" s="59">
        <f t="shared" si="125"/>
        <v>0</v>
      </c>
      <c r="CV100" s="59">
        <f t="shared" si="125"/>
        <v>0</v>
      </c>
      <c r="CW100" s="59">
        <f t="shared" si="125"/>
        <v>0</v>
      </c>
      <c r="CX100" s="59">
        <f t="shared" si="125"/>
        <v>0</v>
      </c>
      <c r="CY100" s="59">
        <f t="shared" si="125"/>
        <v>0</v>
      </c>
      <c r="CZ100" s="59">
        <f t="shared" si="125"/>
        <v>0</v>
      </c>
      <c r="DA100" s="59">
        <f t="shared" si="125"/>
        <v>0</v>
      </c>
      <c r="DB100" s="59">
        <f t="shared" si="125"/>
        <v>0</v>
      </c>
      <c r="DC100" s="21" t="s">
        <v>11</v>
      </c>
    </row>
    <row r="101" spans="2:137">
      <c r="I101" s="367" t="s">
        <v>195</v>
      </c>
      <c r="J101" s="48"/>
      <c r="K101" s="229">
        <f>+K92</f>
        <v>0.1770785629749298</v>
      </c>
      <c r="L101" s="56">
        <f>+M101-100</f>
        <v>9150</v>
      </c>
      <c r="M101" s="56">
        <f>+N101-100</f>
        <v>9250</v>
      </c>
      <c r="N101" s="230">
        <f>+N92</f>
        <v>9350</v>
      </c>
      <c r="O101" s="56">
        <f>+N101+100</f>
        <v>9450</v>
      </c>
      <c r="P101" s="56">
        <f>+O101+100</f>
        <v>9550</v>
      </c>
      <c r="S101" s="269"/>
      <c r="T101" s="57" t="s">
        <v>196</v>
      </c>
      <c r="U101" s="58">
        <f>+SUM(V101:DB101)</f>
        <v>-1048998.0199999998</v>
      </c>
      <c r="V101" s="59">
        <f>+MIN(V97,0)</f>
        <v>0</v>
      </c>
      <c r="W101" s="59">
        <f t="shared" ref="W101:CH101" si="126">+MIN(W97,0)</f>
        <v>-39450</v>
      </c>
      <c r="X101" s="59">
        <f t="shared" si="126"/>
        <v>-852822.16666666663</v>
      </c>
      <c r="Y101" s="59">
        <f t="shared" si="126"/>
        <v>-56679.166666666664</v>
      </c>
      <c r="Z101" s="59">
        <f t="shared" si="126"/>
        <v>-64679.166666666664</v>
      </c>
      <c r="AA101" s="59">
        <f t="shared" si="126"/>
        <v>-34409.186666666668</v>
      </c>
      <c r="AB101" s="59">
        <f t="shared" si="126"/>
        <v>-479.16666666666669</v>
      </c>
      <c r="AC101" s="59">
        <f t="shared" si="126"/>
        <v>-479.16666666666669</v>
      </c>
      <c r="AD101" s="59">
        <f t="shared" si="126"/>
        <v>0</v>
      </c>
      <c r="AE101" s="59">
        <f t="shared" si="126"/>
        <v>0</v>
      </c>
      <c r="AF101" s="59">
        <f t="shared" si="126"/>
        <v>0</v>
      </c>
      <c r="AG101" s="59">
        <f t="shared" si="126"/>
        <v>0</v>
      </c>
      <c r="AH101" s="59">
        <f t="shared" si="126"/>
        <v>0</v>
      </c>
      <c r="AI101" s="59">
        <f t="shared" si="126"/>
        <v>0</v>
      </c>
      <c r="AJ101" s="59">
        <f t="shared" si="126"/>
        <v>0</v>
      </c>
      <c r="AK101" s="59">
        <f t="shared" si="126"/>
        <v>0</v>
      </c>
      <c r="AL101" s="59">
        <f t="shared" si="126"/>
        <v>0</v>
      </c>
      <c r="AM101" s="59">
        <f t="shared" si="126"/>
        <v>0</v>
      </c>
      <c r="AN101" s="59">
        <f t="shared" si="126"/>
        <v>0</v>
      </c>
      <c r="AO101" s="59">
        <f t="shared" si="126"/>
        <v>0</v>
      </c>
      <c r="AP101" s="59">
        <f t="shared" si="126"/>
        <v>0</v>
      </c>
      <c r="AQ101" s="59">
        <f t="shared" si="126"/>
        <v>0</v>
      </c>
      <c r="AR101" s="59">
        <f t="shared" si="126"/>
        <v>0</v>
      </c>
      <c r="AS101" s="59">
        <f t="shared" si="126"/>
        <v>0</v>
      </c>
      <c r="AT101" s="59">
        <f t="shared" si="126"/>
        <v>0</v>
      </c>
      <c r="AU101" s="59">
        <f t="shared" si="126"/>
        <v>0</v>
      </c>
      <c r="AV101" s="59">
        <f t="shared" si="126"/>
        <v>0</v>
      </c>
      <c r="AW101" s="59">
        <f t="shared" si="126"/>
        <v>0</v>
      </c>
      <c r="AX101" s="59">
        <f t="shared" si="126"/>
        <v>0</v>
      </c>
      <c r="AY101" s="59">
        <f t="shared" si="126"/>
        <v>0</v>
      </c>
      <c r="AZ101" s="59">
        <f t="shared" si="126"/>
        <v>0</v>
      </c>
      <c r="BA101" s="59">
        <f t="shared" si="126"/>
        <v>0</v>
      </c>
      <c r="BB101" s="59">
        <f t="shared" si="126"/>
        <v>0</v>
      </c>
      <c r="BC101" s="59">
        <f t="shared" si="126"/>
        <v>0</v>
      </c>
      <c r="BD101" s="59">
        <f t="shared" si="126"/>
        <v>0</v>
      </c>
      <c r="BE101" s="59">
        <f t="shared" si="126"/>
        <v>0</v>
      </c>
      <c r="BF101" s="59">
        <f t="shared" si="126"/>
        <v>0</v>
      </c>
      <c r="BG101" s="59">
        <f t="shared" si="126"/>
        <v>0</v>
      </c>
      <c r="BH101" s="59">
        <f t="shared" si="126"/>
        <v>0</v>
      </c>
      <c r="BI101" s="59">
        <f t="shared" si="126"/>
        <v>0</v>
      </c>
      <c r="BJ101" s="59">
        <f t="shared" si="126"/>
        <v>0</v>
      </c>
      <c r="BK101" s="59">
        <f t="shared" si="126"/>
        <v>0</v>
      </c>
      <c r="BL101" s="59">
        <f t="shared" si="126"/>
        <v>0</v>
      </c>
      <c r="BM101" s="59">
        <f t="shared" si="126"/>
        <v>0</v>
      </c>
      <c r="BN101" s="59">
        <f t="shared" si="126"/>
        <v>0</v>
      </c>
      <c r="BO101" s="59">
        <f t="shared" si="126"/>
        <v>0</v>
      </c>
      <c r="BP101" s="59">
        <f t="shared" si="126"/>
        <v>0</v>
      </c>
      <c r="BQ101" s="59">
        <f t="shared" si="126"/>
        <v>0</v>
      </c>
      <c r="BR101" s="59">
        <f t="shared" si="126"/>
        <v>0</v>
      </c>
      <c r="BS101" s="59">
        <f t="shared" si="126"/>
        <v>0</v>
      </c>
      <c r="BT101" s="59">
        <f t="shared" si="126"/>
        <v>0</v>
      </c>
      <c r="BU101" s="59">
        <f t="shared" si="126"/>
        <v>0</v>
      </c>
      <c r="BV101" s="59">
        <f t="shared" si="126"/>
        <v>0</v>
      </c>
      <c r="BW101" s="59">
        <f t="shared" si="126"/>
        <v>0</v>
      </c>
      <c r="BX101" s="59">
        <f t="shared" si="126"/>
        <v>0</v>
      </c>
      <c r="BY101" s="59">
        <f t="shared" si="126"/>
        <v>0</v>
      </c>
      <c r="BZ101" s="59">
        <f t="shared" si="126"/>
        <v>0</v>
      </c>
      <c r="CA101" s="59">
        <f t="shared" si="126"/>
        <v>0</v>
      </c>
      <c r="CB101" s="59">
        <f t="shared" si="126"/>
        <v>0</v>
      </c>
      <c r="CC101" s="59">
        <f t="shared" si="126"/>
        <v>0</v>
      </c>
      <c r="CD101" s="59">
        <f t="shared" si="126"/>
        <v>0</v>
      </c>
      <c r="CE101" s="59">
        <f t="shared" si="126"/>
        <v>0</v>
      </c>
      <c r="CF101" s="59">
        <f t="shared" si="126"/>
        <v>0</v>
      </c>
      <c r="CG101" s="59">
        <f t="shared" si="126"/>
        <v>0</v>
      </c>
      <c r="CH101" s="59">
        <f t="shared" si="126"/>
        <v>0</v>
      </c>
      <c r="CI101" s="59">
        <f t="shared" ref="CI101:DB101" si="127">+MIN(CI97,0)</f>
        <v>0</v>
      </c>
      <c r="CJ101" s="59">
        <f t="shared" si="127"/>
        <v>0</v>
      </c>
      <c r="CK101" s="59">
        <f t="shared" si="127"/>
        <v>0</v>
      </c>
      <c r="CL101" s="59">
        <f t="shared" si="127"/>
        <v>0</v>
      </c>
      <c r="CM101" s="59">
        <f t="shared" si="127"/>
        <v>0</v>
      </c>
      <c r="CN101" s="59">
        <f t="shared" si="127"/>
        <v>0</v>
      </c>
      <c r="CO101" s="59">
        <f t="shared" si="127"/>
        <v>0</v>
      </c>
      <c r="CP101" s="59">
        <f t="shared" si="127"/>
        <v>0</v>
      </c>
      <c r="CQ101" s="59">
        <f t="shared" si="127"/>
        <v>0</v>
      </c>
      <c r="CR101" s="59">
        <f t="shared" si="127"/>
        <v>0</v>
      </c>
      <c r="CS101" s="59">
        <f t="shared" si="127"/>
        <v>0</v>
      </c>
      <c r="CT101" s="59">
        <f t="shared" si="127"/>
        <v>0</v>
      </c>
      <c r="CU101" s="59">
        <f t="shared" si="127"/>
        <v>0</v>
      </c>
      <c r="CV101" s="59">
        <f t="shared" si="127"/>
        <v>0</v>
      </c>
      <c r="CW101" s="59">
        <f t="shared" si="127"/>
        <v>0</v>
      </c>
      <c r="CX101" s="59">
        <f t="shared" si="127"/>
        <v>0</v>
      </c>
      <c r="CY101" s="59">
        <f t="shared" si="127"/>
        <v>0</v>
      </c>
      <c r="CZ101" s="59">
        <f t="shared" si="127"/>
        <v>0</v>
      </c>
      <c r="DA101" s="59">
        <f t="shared" si="127"/>
        <v>0</v>
      </c>
      <c r="DB101" s="59">
        <f t="shared" si="127"/>
        <v>0</v>
      </c>
      <c r="DC101" s="21" t="s">
        <v>11</v>
      </c>
    </row>
    <row r="102" spans="2:137">
      <c r="I102" s="367"/>
      <c r="J102" s="232"/>
      <c r="K102" s="275">
        <v>0</v>
      </c>
      <c r="L102" s="234">
        <f t="dataTable" ref="L102:P106" dt2D="1" dtr="1" r1="O20" r2="J10" ca="1"/>
        <v>0.14258791804313661</v>
      </c>
      <c r="M102" s="234">
        <v>0.15976750254631047</v>
      </c>
      <c r="N102" s="276">
        <v>0.1770785629749298</v>
      </c>
      <c r="O102" s="234">
        <v>0.19452114701271059</v>
      </c>
      <c r="P102" s="234">
        <v>0.21209527850151061</v>
      </c>
      <c r="S102" s="269"/>
      <c r="T102" s="57" t="s">
        <v>197</v>
      </c>
      <c r="U102" s="277">
        <f>+-U100/U101</f>
        <v>1.0608606345790024</v>
      </c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  <c r="BA102" s="59"/>
      <c r="BB102" s="59"/>
      <c r="BC102" s="59"/>
      <c r="BD102" s="59"/>
      <c r="BE102" s="59"/>
      <c r="BF102" s="59"/>
      <c r="BG102" s="59"/>
      <c r="BH102" s="59"/>
      <c r="BI102" s="59"/>
      <c r="BJ102" s="59"/>
      <c r="BK102" s="59"/>
      <c r="BL102" s="59"/>
      <c r="BM102" s="59"/>
      <c r="BN102" s="59"/>
      <c r="BO102" s="59"/>
      <c r="BP102" s="59"/>
      <c r="BQ102" s="59"/>
      <c r="BR102" s="59"/>
      <c r="BS102" s="59"/>
      <c r="BT102" s="59"/>
      <c r="BU102" s="59"/>
      <c r="BV102" s="59"/>
      <c r="BW102" s="59"/>
      <c r="BX102" s="59"/>
      <c r="BY102" s="59"/>
      <c r="BZ102" s="59"/>
      <c r="CA102" s="59"/>
      <c r="CB102" s="59"/>
      <c r="CC102" s="59"/>
      <c r="CD102" s="59"/>
      <c r="CE102" s="59"/>
      <c r="CF102" s="59"/>
      <c r="CG102" s="59"/>
      <c r="CH102" s="59"/>
      <c r="CI102" s="59"/>
      <c r="CJ102" s="59"/>
      <c r="CK102" s="59"/>
      <c r="CL102" s="59"/>
      <c r="CM102" s="59"/>
      <c r="CN102" s="59"/>
      <c r="CO102" s="59"/>
      <c r="CP102" s="59"/>
      <c r="CQ102" s="59"/>
      <c r="CR102" s="59"/>
      <c r="CS102" s="59"/>
      <c r="CT102" s="59"/>
      <c r="CU102" s="59"/>
      <c r="CV102" s="59"/>
      <c r="CW102" s="59"/>
      <c r="CX102" s="59"/>
      <c r="CY102" s="59"/>
      <c r="CZ102" s="59"/>
      <c r="DA102" s="59"/>
      <c r="DB102" s="59"/>
      <c r="DC102" s="21" t="s">
        <v>11</v>
      </c>
    </row>
    <row r="103" spans="2:137">
      <c r="I103" s="367"/>
      <c r="J103" s="232"/>
      <c r="K103" s="275">
        <v>0.25</v>
      </c>
      <c r="L103" s="61">
        <v>0.1570312798023224</v>
      </c>
      <c r="M103" s="237">
        <v>0.17843065857887272</v>
      </c>
      <c r="N103" s="238">
        <v>0.20003231167793276</v>
      </c>
      <c r="O103" s="239">
        <v>0.22183632254600519</v>
      </c>
      <c r="P103" s="61">
        <v>0.24384279847145082</v>
      </c>
      <c r="S103" s="269"/>
      <c r="T103" s="68"/>
      <c r="U103" s="69"/>
      <c r="V103" s="70"/>
      <c r="W103" s="70"/>
      <c r="X103" s="70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  <c r="AI103" s="70"/>
      <c r="AJ103" s="70"/>
      <c r="AK103" s="70"/>
      <c r="AL103" s="70"/>
      <c r="AM103" s="70"/>
      <c r="AN103" s="70"/>
      <c r="AO103" s="70"/>
      <c r="AP103" s="70"/>
      <c r="AQ103" s="70"/>
      <c r="AR103" s="70"/>
      <c r="AS103" s="70"/>
      <c r="AT103" s="70"/>
      <c r="AU103" s="70"/>
      <c r="AV103" s="70"/>
      <c r="AW103" s="70"/>
      <c r="AX103" s="70"/>
      <c r="AY103" s="70"/>
      <c r="AZ103" s="70"/>
      <c r="BA103" s="70"/>
      <c r="BB103" s="70"/>
      <c r="BC103" s="70"/>
      <c r="BD103" s="70"/>
      <c r="BE103" s="70"/>
      <c r="BF103" s="70"/>
      <c r="BG103" s="70"/>
      <c r="BH103" s="70"/>
      <c r="BI103" s="70"/>
      <c r="BJ103" s="70"/>
      <c r="BK103" s="70"/>
      <c r="BL103" s="70"/>
      <c r="BM103" s="70"/>
      <c r="BN103" s="70"/>
      <c r="BO103" s="70"/>
      <c r="BP103" s="70"/>
      <c r="BQ103" s="70"/>
      <c r="BR103" s="70"/>
      <c r="BS103" s="70"/>
      <c r="BT103" s="70"/>
      <c r="BU103" s="70"/>
      <c r="BV103" s="70"/>
      <c r="BW103" s="70"/>
      <c r="BX103" s="70"/>
      <c r="BY103" s="70"/>
      <c r="BZ103" s="70"/>
      <c r="CA103" s="70"/>
      <c r="CB103" s="70"/>
      <c r="CC103" s="70"/>
      <c r="CD103" s="70"/>
      <c r="CE103" s="70"/>
      <c r="CF103" s="70"/>
      <c r="CG103" s="70"/>
      <c r="CH103" s="70"/>
      <c r="CI103" s="70"/>
      <c r="CJ103" s="70"/>
      <c r="CK103" s="70"/>
      <c r="CL103" s="70"/>
      <c r="CM103" s="70"/>
      <c r="CN103" s="70"/>
      <c r="CO103" s="70"/>
      <c r="CP103" s="70"/>
      <c r="CQ103" s="70"/>
      <c r="CR103" s="70"/>
      <c r="CS103" s="70"/>
      <c r="CT103" s="70"/>
      <c r="CU103" s="70"/>
      <c r="CV103" s="70"/>
      <c r="CW103" s="70"/>
      <c r="CX103" s="70"/>
      <c r="CY103" s="70"/>
      <c r="CZ103" s="70"/>
      <c r="DA103" s="70"/>
      <c r="DB103" s="70"/>
      <c r="DC103" s="21" t="s">
        <v>11</v>
      </c>
    </row>
    <row r="104" spans="2:137">
      <c r="I104" s="367"/>
      <c r="J104" s="232"/>
      <c r="K104" s="278">
        <v>0.5</v>
      </c>
      <c r="L104" s="279">
        <v>0.18062248826026917</v>
      </c>
      <c r="M104" s="280">
        <v>0.2089883863925934</v>
      </c>
      <c r="N104" s="242">
        <v>0.23770486712455743</v>
      </c>
      <c r="O104" s="281">
        <v>0.26677219271659858</v>
      </c>
      <c r="P104" s="279">
        <v>0.29619062542915353</v>
      </c>
      <c r="S104" s="269"/>
      <c r="T104" s="57"/>
      <c r="U104" s="58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  <c r="BA104" s="59"/>
      <c r="BB104" s="59"/>
      <c r="BC104" s="59"/>
      <c r="BD104" s="59"/>
      <c r="BE104" s="59"/>
      <c r="BF104" s="59"/>
      <c r="BG104" s="59"/>
      <c r="BH104" s="59"/>
      <c r="BI104" s="59"/>
      <c r="BJ104" s="59"/>
      <c r="BK104" s="59"/>
      <c r="BL104" s="59"/>
      <c r="BM104" s="59"/>
      <c r="BN104" s="59"/>
      <c r="BO104" s="59"/>
      <c r="BP104" s="59"/>
      <c r="BQ104" s="59"/>
      <c r="BR104" s="59"/>
      <c r="BS104" s="59"/>
      <c r="BT104" s="59"/>
      <c r="BU104" s="59"/>
      <c r="BV104" s="59"/>
      <c r="BW104" s="59"/>
      <c r="BX104" s="59"/>
      <c r="BY104" s="59"/>
      <c r="BZ104" s="59"/>
      <c r="CA104" s="59"/>
      <c r="CB104" s="59"/>
      <c r="CC104" s="59"/>
      <c r="CD104" s="59"/>
      <c r="CE104" s="59"/>
      <c r="CF104" s="59"/>
      <c r="CG104" s="59"/>
      <c r="CH104" s="59"/>
      <c r="CI104" s="59"/>
      <c r="CJ104" s="59"/>
      <c r="CK104" s="59"/>
      <c r="CL104" s="59"/>
      <c r="CM104" s="59"/>
      <c r="CN104" s="59"/>
      <c r="CO104" s="59"/>
      <c r="CP104" s="59"/>
      <c r="CQ104" s="59"/>
      <c r="CR104" s="59"/>
      <c r="CS104" s="59"/>
      <c r="CT104" s="59"/>
      <c r="CU104" s="59"/>
      <c r="CV104" s="59"/>
      <c r="CW104" s="59"/>
      <c r="CX104" s="59"/>
      <c r="CY104" s="59"/>
      <c r="CZ104" s="59"/>
      <c r="DA104" s="59"/>
      <c r="DB104" s="59"/>
      <c r="DC104" s="21" t="s">
        <v>11</v>
      </c>
    </row>
    <row r="105" spans="2:137">
      <c r="I105" s="367"/>
      <c r="J105" s="232"/>
      <c r="K105" s="275">
        <v>0.75</v>
      </c>
      <c r="L105" s="61">
        <v>0.22609029412269591</v>
      </c>
      <c r="M105" s="247">
        <v>0.2681415498256684</v>
      </c>
      <c r="N105" s="248">
        <v>0.31094375252723705</v>
      </c>
      <c r="O105" s="249">
        <v>0.35449805855751038</v>
      </c>
      <c r="P105" s="61">
        <v>0.39880558848381042</v>
      </c>
      <c r="S105" s="269"/>
      <c r="T105" s="57"/>
      <c r="U105" s="58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  <c r="BA105" s="59"/>
      <c r="BB105" s="59"/>
      <c r="BC105" s="59"/>
      <c r="BD105" s="59"/>
      <c r="BE105" s="59"/>
      <c r="BF105" s="59"/>
      <c r="BG105" s="59"/>
      <c r="BH105" s="59"/>
      <c r="BI105" s="59"/>
      <c r="BJ105" s="59"/>
      <c r="BK105" s="59"/>
      <c r="BL105" s="59"/>
      <c r="BM105" s="59"/>
      <c r="BN105" s="59"/>
      <c r="BO105" s="59"/>
      <c r="BP105" s="59"/>
      <c r="BQ105" s="59"/>
      <c r="BR105" s="59"/>
      <c r="BS105" s="59"/>
      <c r="BT105" s="59"/>
      <c r="BU105" s="59"/>
      <c r="BV105" s="59"/>
      <c r="BW105" s="59"/>
      <c r="BX105" s="59"/>
      <c r="BY105" s="59"/>
      <c r="BZ105" s="59"/>
      <c r="CA105" s="59"/>
      <c r="CB105" s="59"/>
      <c r="CC105" s="59"/>
      <c r="CD105" s="59"/>
      <c r="CE105" s="59"/>
      <c r="CF105" s="59"/>
      <c r="CG105" s="59"/>
      <c r="CH105" s="59"/>
      <c r="CI105" s="59"/>
      <c r="CJ105" s="59"/>
      <c r="CK105" s="59"/>
      <c r="CL105" s="59"/>
      <c r="CM105" s="59"/>
      <c r="CN105" s="59"/>
      <c r="CO105" s="59"/>
      <c r="CP105" s="59"/>
      <c r="CQ105" s="59"/>
      <c r="CR105" s="59"/>
      <c r="CS105" s="59"/>
      <c r="CT105" s="59"/>
      <c r="CU105" s="59"/>
      <c r="CV105" s="59"/>
      <c r="CW105" s="59"/>
      <c r="CX105" s="59"/>
      <c r="CY105" s="59"/>
      <c r="CZ105" s="59"/>
      <c r="DA105" s="59"/>
      <c r="DB105" s="59"/>
      <c r="DC105" s="21" t="s">
        <v>11</v>
      </c>
    </row>
    <row r="106" spans="2:137">
      <c r="I106" s="367"/>
      <c r="J106" s="232"/>
      <c r="K106" s="275">
        <f>+K105+10%</f>
        <v>0.85</v>
      </c>
      <c r="L106" s="61">
        <v>0.25878093838691707</v>
      </c>
      <c r="M106" s="61">
        <v>0.31088159680366523</v>
      </c>
      <c r="N106" s="234">
        <v>0.36411461234092724</v>
      </c>
      <c r="O106" s="61">
        <v>0.41848248839378366</v>
      </c>
      <c r="P106" s="61">
        <v>0.4739876806735992</v>
      </c>
      <c r="S106" s="269"/>
      <c r="T106" s="57"/>
      <c r="U106" s="282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  <c r="BA106" s="59"/>
      <c r="BB106" s="59"/>
      <c r="BC106" s="59"/>
      <c r="BD106" s="59"/>
      <c r="BE106" s="59"/>
      <c r="BF106" s="59"/>
      <c r="BG106" s="59"/>
      <c r="BH106" s="59"/>
      <c r="BI106" s="59"/>
      <c r="BJ106" s="59"/>
      <c r="BK106" s="59"/>
      <c r="BL106" s="59"/>
      <c r="BM106" s="59"/>
      <c r="BN106" s="59"/>
      <c r="BO106" s="59"/>
      <c r="BP106" s="59"/>
      <c r="BQ106" s="59"/>
      <c r="BR106" s="59"/>
      <c r="BS106" s="59"/>
      <c r="BT106" s="59"/>
      <c r="BU106" s="59"/>
      <c r="BV106" s="59"/>
      <c r="BW106" s="59"/>
      <c r="BX106" s="59"/>
      <c r="BY106" s="59"/>
      <c r="BZ106" s="59"/>
      <c r="CA106" s="59"/>
      <c r="CB106" s="59"/>
      <c r="CC106" s="59"/>
      <c r="CD106" s="59"/>
      <c r="CE106" s="59"/>
      <c r="CF106" s="59"/>
      <c r="CG106" s="59"/>
      <c r="CH106" s="59"/>
      <c r="CI106" s="59"/>
      <c r="CJ106" s="59"/>
      <c r="CK106" s="59"/>
      <c r="CL106" s="59"/>
      <c r="CM106" s="59"/>
      <c r="CN106" s="59"/>
      <c r="CO106" s="59"/>
      <c r="CP106" s="59"/>
      <c r="CQ106" s="59"/>
      <c r="CR106" s="59"/>
      <c r="CS106" s="59"/>
      <c r="CT106" s="59"/>
      <c r="CU106" s="59"/>
      <c r="CV106" s="59"/>
      <c r="CW106" s="59"/>
      <c r="CX106" s="59"/>
      <c r="CY106" s="59"/>
      <c r="CZ106" s="59"/>
      <c r="DA106" s="59"/>
      <c r="DB106" s="59"/>
      <c r="DC106" s="21" t="s">
        <v>11</v>
      </c>
    </row>
    <row r="107" spans="2:137">
      <c r="K107" s="67"/>
      <c r="S107" s="269"/>
      <c r="T107" s="57"/>
      <c r="U107" s="282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  <c r="BA107" s="59"/>
      <c r="BB107" s="59"/>
      <c r="BC107" s="59"/>
      <c r="BD107" s="59"/>
      <c r="BE107" s="59"/>
      <c r="BF107" s="59"/>
      <c r="BG107" s="59"/>
      <c r="BH107" s="59"/>
      <c r="BI107" s="59"/>
      <c r="BJ107" s="59"/>
      <c r="BK107" s="59"/>
      <c r="BL107" s="59"/>
      <c r="BM107" s="59"/>
      <c r="BN107" s="59"/>
      <c r="BO107" s="59"/>
      <c r="BP107" s="59"/>
      <c r="BQ107" s="59"/>
      <c r="BR107" s="59"/>
      <c r="BS107" s="59"/>
      <c r="BT107" s="59"/>
      <c r="BU107" s="59"/>
      <c r="BV107" s="59"/>
      <c r="BW107" s="59"/>
      <c r="BX107" s="59"/>
      <c r="BY107" s="59"/>
      <c r="BZ107" s="59"/>
      <c r="CA107" s="59"/>
      <c r="CB107" s="59"/>
      <c r="CC107" s="59"/>
      <c r="CD107" s="59"/>
      <c r="CE107" s="59"/>
      <c r="CF107" s="59"/>
      <c r="CG107" s="59"/>
      <c r="CH107" s="59"/>
      <c r="CI107" s="59"/>
      <c r="CJ107" s="59"/>
      <c r="CK107" s="59"/>
      <c r="CL107" s="59"/>
      <c r="CM107" s="59"/>
      <c r="CN107" s="59"/>
      <c r="CO107" s="59"/>
      <c r="CP107" s="59"/>
      <c r="CQ107" s="59"/>
      <c r="CR107" s="59"/>
      <c r="CS107" s="59"/>
      <c r="CT107" s="59"/>
      <c r="CU107" s="59"/>
      <c r="CV107" s="59"/>
      <c r="CW107" s="59"/>
      <c r="CX107" s="59"/>
      <c r="CY107" s="59"/>
      <c r="CZ107" s="59"/>
      <c r="DA107" s="59"/>
      <c r="DB107" s="59"/>
      <c r="DC107" s="21" t="s">
        <v>11</v>
      </c>
    </row>
    <row r="108" spans="2:137">
      <c r="T108" s="57"/>
      <c r="U108" s="58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  <c r="BA108" s="59"/>
      <c r="BB108" s="59"/>
      <c r="BC108" s="59"/>
      <c r="BD108" s="59"/>
      <c r="BE108" s="59"/>
      <c r="BF108" s="59"/>
      <c r="BG108" s="59"/>
      <c r="BH108" s="59"/>
      <c r="BI108" s="59"/>
      <c r="BJ108" s="59"/>
      <c r="BK108" s="59"/>
      <c r="BL108" s="59"/>
      <c r="BM108" s="59"/>
      <c r="BN108" s="59"/>
      <c r="BO108" s="59"/>
      <c r="BP108" s="59"/>
      <c r="BQ108" s="59"/>
      <c r="BR108" s="59"/>
      <c r="BS108" s="59"/>
      <c r="BT108" s="59"/>
      <c r="BU108" s="59"/>
      <c r="BV108" s="59"/>
      <c r="BW108" s="59"/>
      <c r="BX108" s="59"/>
      <c r="BY108" s="59"/>
      <c r="BZ108" s="59"/>
      <c r="CA108" s="59"/>
      <c r="CB108" s="59"/>
      <c r="CC108" s="59"/>
      <c r="CD108" s="59"/>
      <c r="CE108" s="59"/>
      <c r="CF108" s="59"/>
      <c r="CG108" s="59"/>
      <c r="CH108" s="59"/>
      <c r="CI108" s="59"/>
      <c r="CJ108" s="59"/>
      <c r="CK108" s="59"/>
      <c r="CL108" s="59"/>
      <c r="CM108" s="59"/>
      <c r="CN108" s="59"/>
      <c r="CO108" s="59"/>
      <c r="CP108" s="59"/>
      <c r="CQ108" s="59"/>
      <c r="CR108" s="59"/>
      <c r="CS108" s="59"/>
      <c r="CT108" s="59"/>
      <c r="CU108" s="59"/>
      <c r="CV108" s="59"/>
      <c r="CW108" s="59"/>
      <c r="CX108" s="59"/>
      <c r="CY108" s="59"/>
      <c r="CZ108" s="59"/>
      <c r="DA108" s="59"/>
      <c r="DB108" s="59"/>
      <c r="DC108" s="21" t="s">
        <v>11</v>
      </c>
    </row>
    <row r="109" spans="2:137">
      <c r="B109" s="17" t="s">
        <v>198</v>
      </c>
      <c r="C109" s="18"/>
      <c r="D109" s="18"/>
      <c r="E109" s="18"/>
      <c r="F109" s="18"/>
      <c r="G109" s="18"/>
      <c r="I109" s="17" t="s">
        <v>199</v>
      </c>
      <c r="J109" s="18"/>
      <c r="K109" s="18"/>
      <c r="L109" s="18"/>
      <c r="M109" s="18"/>
      <c r="N109" s="18"/>
      <c r="O109" s="18"/>
      <c r="P109" s="18"/>
      <c r="U109" s="58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  <c r="BA109" s="59"/>
      <c r="BB109" s="59"/>
      <c r="BC109" s="59"/>
      <c r="BD109" s="59"/>
      <c r="BE109" s="59"/>
      <c r="BF109" s="59"/>
      <c r="BG109" s="59"/>
      <c r="BH109" s="59"/>
      <c r="BI109" s="59"/>
      <c r="BJ109" s="59"/>
      <c r="BK109" s="59"/>
      <c r="BL109" s="59"/>
      <c r="BM109" s="59"/>
      <c r="BN109" s="59"/>
      <c r="BO109" s="59"/>
      <c r="BP109" s="59"/>
      <c r="BQ109" s="59"/>
      <c r="BR109" s="59"/>
      <c r="BS109" s="59"/>
      <c r="BT109" s="59"/>
      <c r="BU109" s="59"/>
      <c r="BV109" s="59"/>
      <c r="BW109" s="59"/>
      <c r="BX109" s="59"/>
      <c r="BY109" s="59"/>
      <c r="BZ109" s="59"/>
      <c r="CA109" s="59"/>
      <c r="CB109" s="59"/>
      <c r="CC109" s="59"/>
      <c r="CD109" s="59"/>
      <c r="CE109" s="59"/>
      <c r="CF109" s="59"/>
      <c r="CG109" s="59"/>
      <c r="CH109" s="59"/>
      <c r="CI109" s="59"/>
      <c r="CJ109" s="59"/>
      <c r="CK109" s="59"/>
      <c r="CL109" s="59"/>
      <c r="CM109" s="59"/>
      <c r="CN109" s="59"/>
      <c r="CO109" s="59"/>
      <c r="CP109" s="59"/>
      <c r="CQ109" s="59"/>
      <c r="CR109" s="59"/>
      <c r="CS109" s="59"/>
      <c r="CT109" s="59"/>
      <c r="CU109" s="59"/>
      <c r="CV109" s="59"/>
      <c r="CW109" s="59"/>
      <c r="CX109" s="59"/>
      <c r="CY109" s="59"/>
      <c r="CZ109" s="59"/>
      <c r="DA109" s="59"/>
      <c r="DB109" s="59"/>
      <c r="DC109" s="21" t="s">
        <v>11</v>
      </c>
    </row>
    <row r="110" spans="2:137">
      <c r="M110" s="22" t="s">
        <v>18</v>
      </c>
      <c r="N110" s="22" t="s">
        <v>19</v>
      </c>
      <c r="O110" s="22"/>
      <c r="P110" s="22" t="s">
        <v>200</v>
      </c>
      <c r="U110" s="58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  <c r="BA110" s="59"/>
      <c r="BB110" s="59"/>
      <c r="BC110" s="59"/>
      <c r="BD110" s="59"/>
      <c r="BE110" s="59"/>
      <c r="BF110" s="59"/>
      <c r="BG110" s="59"/>
      <c r="BH110" s="59"/>
      <c r="BI110" s="59"/>
      <c r="BJ110" s="59"/>
      <c r="BK110" s="59"/>
      <c r="BL110" s="59"/>
      <c r="BM110" s="59"/>
      <c r="BN110" s="59"/>
      <c r="BO110" s="59"/>
      <c r="BP110" s="59"/>
      <c r="BQ110" s="59"/>
      <c r="BR110" s="59"/>
      <c r="BS110" s="59"/>
      <c r="BT110" s="59"/>
      <c r="BU110" s="59"/>
      <c r="BV110" s="59"/>
      <c r="BW110" s="59"/>
      <c r="BX110" s="59"/>
      <c r="BY110" s="59"/>
      <c r="BZ110" s="59"/>
      <c r="CA110" s="59"/>
      <c r="CB110" s="59"/>
      <c r="CC110" s="59"/>
      <c r="CD110" s="59"/>
      <c r="CE110" s="59"/>
      <c r="CF110" s="59"/>
      <c r="CG110" s="59"/>
      <c r="CH110" s="59"/>
      <c r="CI110" s="59"/>
      <c r="CJ110" s="59"/>
      <c r="CK110" s="59"/>
      <c r="CL110" s="59"/>
      <c r="CM110" s="59"/>
      <c r="CN110" s="59"/>
      <c r="CO110" s="59"/>
      <c r="CP110" s="59"/>
      <c r="CQ110" s="59"/>
      <c r="CR110" s="59"/>
      <c r="CS110" s="59"/>
      <c r="CT110" s="59"/>
      <c r="CU110" s="59"/>
      <c r="CV110" s="59"/>
      <c r="CW110" s="59"/>
      <c r="CX110" s="59"/>
      <c r="CY110" s="59"/>
      <c r="CZ110" s="59"/>
      <c r="DA110" s="59"/>
      <c r="DB110" s="59"/>
      <c r="DC110" s="21" t="s">
        <v>11</v>
      </c>
    </row>
    <row r="111" spans="2:137">
      <c r="B111" s="53" t="s">
        <v>201</v>
      </c>
      <c r="C111" s="22" t="s">
        <v>202</v>
      </c>
      <c r="D111" s="22" t="s">
        <v>203</v>
      </c>
      <c r="E111" s="22" t="s">
        <v>204</v>
      </c>
      <c r="F111" s="22" t="s">
        <v>205</v>
      </c>
      <c r="I111" s="9" t="s">
        <v>206</v>
      </c>
      <c r="M111" s="28">
        <f>+M114</f>
        <v>45931</v>
      </c>
      <c r="N111" s="9">
        <v>60</v>
      </c>
      <c r="P111" s="28">
        <f>+EOMONTH(M111,N111)</f>
        <v>47787</v>
      </c>
      <c r="T111" s="283"/>
      <c r="U111" s="284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  <c r="BA111" s="59"/>
      <c r="BB111" s="59"/>
      <c r="BC111" s="59"/>
      <c r="BD111" s="59"/>
      <c r="BE111" s="59"/>
      <c r="BF111" s="59"/>
      <c r="BG111" s="59"/>
      <c r="BH111" s="59"/>
      <c r="BI111" s="59"/>
      <c r="BJ111" s="59"/>
      <c r="BK111" s="59"/>
      <c r="BL111" s="59"/>
      <c r="BM111" s="59"/>
      <c r="BN111" s="59"/>
      <c r="BO111" s="59"/>
      <c r="BP111" s="59"/>
      <c r="BQ111" s="59"/>
      <c r="BR111" s="59"/>
      <c r="BS111" s="59"/>
      <c r="BT111" s="59"/>
      <c r="BU111" s="59"/>
      <c r="BV111" s="59"/>
      <c r="BW111" s="59"/>
      <c r="BX111" s="59"/>
      <c r="BY111" s="59"/>
      <c r="BZ111" s="59"/>
      <c r="CA111" s="59"/>
      <c r="CB111" s="59"/>
      <c r="CC111" s="59"/>
      <c r="CD111" s="59"/>
      <c r="CE111" s="59"/>
      <c r="CF111" s="59"/>
      <c r="CG111" s="59"/>
      <c r="CH111" s="59"/>
      <c r="CI111" s="59"/>
      <c r="CJ111" s="59"/>
      <c r="CK111" s="59"/>
      <c r="CL111" s="59"/>
      <c r="CM111" s="59"/>
      <c r="CN111" s="59"/>
      <c r="CO111" s="59"/>
      <c r="CP111" s="59"/>
      <c r="CQ111" s="59"/>
      <c r="CR111" s="59"/>
      <c r="CS111" s="59"/>
      <c r="CT111" s="59"/>
      <c r="CU111" s="59"/>
      <c r="CV111" s="59"/>
      <c r="CW111" s="59"/>
      <c r="CX111" s="59"/>
      <c r="CY111" s="59"/>
      <c r="CZ111" s="59"/>
      <c r="DA111" s="59"/>
      <c r="DB111" s="59"/>
      <c r="DC111" s="21" t="s">
        <v>11</v>
      </c>
    </row>
    <row r="112" spans="2:137">
      <c r="B112" s="57" t="s">
        <v>207</v>
      </c>
      <c r="C112" s="26">
        <v>0.05</v>
      </c>
      <c r="D112" s="135">
        <f>+E112/$E$116</f>
        <v>4.553121295151303E-2</v>
      </c>
      <c r="E112" s="139">
        <f>+C112*$E$34</f>
        <v>39250</v>
      </c>
      <c r="F112" s="28">
        <f>+EOMONTH(M114,0)</f>
        <v>45961</v>
      </c>
      <c r="U112" s="58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  <c r="BA112" s="59"/>
      <c r="BB112" s="59"/>
      <c r="BC112" s="59"/>
      <c r="BD112" s="59"/>
      <c r="BE112" s="59"/>
      <c r="BF112" s="59"/>
      <c r="BG112" s="59"/>
      <c r="BH112" s="59"/>
      <c r="BI112" s="59"/>
      <c r="BJ112" s="59"/>
      <c r="BK112" s="59"/>
      <c r="BL112" s="59"/>
      <c r="BM112" s="59"/>
      <c r="BN112" s="59"/>
      <c r="BO112" s="59"/>
      <c r="BP112" s="59"/>
      <c r="BQ112" s="59"/>
      <c r="BR112" s="59"/>
      <c r="BS112" s="59"/>
      <c r="BT112" s="59"/>
      <c r="BU112" s="59"/>
      <c r="BV112" s="59"/>
      <c r="BW112" s="59"/>
      <c r="BX112" s="59"/>
      <c r="BY112" s="59"/>
      <c r="BZ112" s="59"/>
      <c r="CA112" s="59"/>
      <c r="CB112" s="59"/>
      <c r="CC112" s="59"/>
      <c r="CD112" s="59"/>
      <c r="CE112" s="59"/>
      <c r="CF112" s="59"/>
      <c r="CG112" s="59"/>
      <c r="CH112" s="59"/>
      <c r="CI112" s="59"/>
      <c r="CJ112" s="59"/>
      <c r="CK112" s="59"/>
      <c r="CL112" s="59"/>
      <c r="CM112" s="59"/>
      <c r="CN112" s="59"/>
      <c r="CO112" s="59"/>
      <c r="CP112" s="59"/>
      <c r="CQ112" s="59"/>
      <c r="CR112" s="59"/>
      <c r="CS112" s="59"/>
      <c r="CT112" s="59"/>
      <c r="CU112" s="59"/>
      <c r="CV112" s="59"/>
      <c r="CW112" s="59"/>
      <c r="CX112" s="59"/>
      <c r="CY112" s="59"/>
      <c r="CZ112" s="59"/>
      <c r="DA112" s="59"/>
      <c r="DB112" s="59"/>
      <c r="DC112" s="285" t="s">
        <v>11</v>
      </c>
      <c r="DD112" s="286"/>
      <c r="DE112" s="286"/>
      <c r="DF112" s="286"/>
      <c r="DG112" s="286"/>
      <c r="DH112" s="286"/>
      <c r="DI112" s="286"/>
      <c r="DJ112" s="286"/>
      <c r="DK112" s="286"/>
      <c r="DL112" s="286"/>
      <c r="DM112" s="286"/>
      <c r="DN112" s="286"/>
      <c r="DO112" s="286"/>
      <c r="DP112" s="286"/>
      <c r="DQ112" s="286"/>
      <c r="DR112" s="286"/>
      <c r="DS112" s="286"/>
      <c r="DT112" s="286"/>
      <c r="DU112" s="286"/>
      <c r="DV112" s="286"/>
      <c r="DW112" s="286"/>
      <c r="DX112" s="286"/>
      <c r="DY112" s="286"/>
      <c r="DZ112" s="286"/>
      <c r="EA112" s="286"/>
      <c r="EB112" s="286"/>
      <c r="EC112" s="286"/>
      <c r="ED112" s="286"/>
      <c r="EE112" s="286"/>
      <c r="EF112" s="286"/>
      <c r="EG112" s="286"/>
    </row>
    <row r="113" spans="2:137">
      <c r="B113" s="57" t="s">
        <v>208</v>
      </c>
      <c r="C113" s="24">
        <v>0</v>
      </c>
      <c r="D113" s="135">
        <f>+E113/$E$116</f>
        <v>0</v>
      </c>
      <c r="E113" s="139">
        <f>+C113*$E$34</f>
        <v>0</v>
      </c>
      <c r="F113" s="28">
        <f>+EOMONTH(F112,0)</f>
        <v>45961</v>
      </c>
      <c r="M113" s="22" t="s">
        <v>18</v>
      </c>
      <c r="N113" s="22" t="s">
        <v>19</v>
      </c>
      <c r="O113" s="22"/>
      <c r="P113" s="22" t="s">
        <v>200</v>
      </c>
      <c r="T113" s="53"/>
      <c r="U113" s="58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  <c r="BA113" s="59"/>
      <c r="BB113" s="59"/>
      <c r="BC113" s="59"/>
      <c r="BD113" s="59"/>
      <c r="BE113" s="59"/>
      <c r="BF113" s="59"/>
      <c r="BG113" s="59"/>
      <c r="BH113" s="59"/>
      <c r="BI113" s="59"/>
      <c r="BJ113" s="59"/>
      <c r="BK113" s="59"/>
      <c r="BL113" s="59"/>
      <c r="BM113" s="59"/>
      <c r="BN113" s="59"/>
      <c r="BO113" s="59"/>
      <c r="BP113" s="59"/>
      <c r="BQ113" s="59"/>
      <c r="BR113" s="59"/>
      <c r="BS113" s="59"/>
      <c r="BT113" s="59"/>
      <c r="BU113" s="59"/>
      <c r="BV113" s="59"/>
      <c r="BW113" s="59"/>
      <c r="BX113" s="59"/>
      <c r="BY113" s="59"/>
      <c r="BZ113" s="59"/>
      <c r="CA113" s="59"/>
      <c r="CB113" s="59"/>
      <c r="CC113" s="59"/>
      <c r="CD113" s="59"/>
      <c r="CE113" s="59"/>
      <c r="CF113" s="59"/>
      <c r="CG113" s="59"/>
      <c r="CH113" s="59"/>
      <c r="CI113" s="59"/>
      <c r="CJ113" s="59"/>
      <c r="CK113" s="59"/>
      <c r="CL113" s="59"/>
      <c r="CM113" s="59"/>
      <c r="CN113" s="59"/>
      <c r="CO113" s="59"/>
      <c r="CP113" s="59"/>
      <c r="CQ113" s="59"/>
      <c r="CR113" s="59"/>
      <c r="CS113" s="59"/>
      <c r="CT113" s="59"/>
      <c r="CU113" s="59"/>
      <c r="CV113" s="59"/>
      <c r="CW113" s="59"/>
      <c r="CX113" s="59"/>
      <c r="CY113" s="59"/>
      <c r="CZ113" s="59"/>
      <c r="DA113" s="59"/>
      <c r="DB113" s="59"/>
      <c r="DC113" s="21" t="s">
        <v>11</v>
      </c>
    </row>
    <row r="114" spans="2:137">
      <c r="B114" s="57" t="s">
        <v>209</v>
      </c>
      <c r="C114" s="120">
        <f>1-C112-C113</f>
        <v>0.95</v>
      </c>
      <c r="D114" s="287">
        <f>+E114/$E$116</f>
        <v>0.86509304607874749</v>
      </c>
      <c r="E114" s="73">
        <f>+E34-E112-E113</f>
        <v>745750</v>
      </c>
      <c r="F114" s="288">
        <f>+M115</f>
        <v>45991</v>
      </c>
      <c r="I114" s="9" t="s">
        <v>207</v>
      </c>
      <c r="M114" s="289">
        <v>45931</v>
      </c>
      <c r="N114" s="65">
        <v>1</v>
      </c>
      <c r="O114" s="65"/>
      <c r="P114" s="28">
        <f>+EOMONTH(M114,N114)</f>
        <v>45991</v>
      </c>
      <c r="T114" s="57"/>
      <c r="U114" s="58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  <c r="BA114" s="59"/>
      <c r="BB114" s="59"/>
      <c r="BC114" s="59"/>
      <c r="BD114" s="59"/>
      <c r="BE114" s="59"/>
      <c r="BF114" s="59"/>
      <c r="BG114" s="59"/>
      <c r="BH114" s="59"/>
      <c r="BI114" s="59"/>
      <c r="BJ114" s="59"/>
      <c r="BK114" s="59"/>
      <c r="BL114" s="59"/>
      <c r="BM114" s="59"/>
      <c r="BN114" s="59"/>
      <c r="BO114" s="59"/>
      <c r="BP114" s="59"/>
      <c r="BQ114" s="59"/>
      <c r="BR114" s="59"/>
      <c r="BS114" s="59"/>
      <c r="BT114" s="59"/>
      <c r="BU114" s="59"/>
      <c r="BV114" s="59"/>
      <c r="BW114" s="59"/>
      <c r="BX114" s="59"/>
      <c r="BY114" s="59"/>
      <c r="BZ114" s="59"/>
      <c r="CA114" s="59"/>
      <c r="CB114" s="59"/>
      <c r="CC114" s="59"/>
      <c r="CD114" s="59"/>
      <c r="CE114" s="59"/>
      <c r="CF114" s="59"/>
      <c r="CG114" s="59"/>
      <c r="CH114" s="59"/>
      <c r="CI114" s="59"/>
      <c r="CJ114" s="59"/>
      <c r="CK114" s="59"/>
      <c r="CL114" s="59"/>
      <c r="CM114" s="59"/>
      <c r="CN114" s="59"/>
      <c r="CO114" s="59"/>
      <c r="CP114" s="59"/>
      <c r="CQ114" s="59"/>
      <c r="CR114" s="59"/>
      <c r="CS114" s="59"/>
      <c r="CT114" s="59"/>
      <c r="CU114" s="59"/>
      <c r="CV114" s="59"/>
      <c r="CW114" s="59"/>
      <c r="CX114" s="59"/>
      <c r="CY114" s="59"/>
      <c r="CZ114" s="59"/>
      <c r="DA114" s="59"/>
      <c r="DB114" s="59"/>
      <c r="DC114" s="21" t="s">
        <v>11</v>
      </c>
    </row>
    <row r="115" spans="2:137">
      <c r="B115" s="76" t="s">
        <v>210</v>
      </c>
      <c r="C115" s="78"/>
      <c r="D115" s="290">
        <f>+E115/$E$116</f>
        <v>8.9375740969739437E-2</v>
      </c>
      <c r="E115" s="56">
        <f>+SUM(E35:E40)</f>
        <v>77046</v>
      </c>
      <c r="F115" s="291">
        <f>+F114</f>
        <v>45991</v>
      </c>
      <c r="I115" s="9" t="s">
        <v>211</v>
      </c>
      <c r="M115" s="28">
        <f>+P114</f>
        <v>45991</v>
      </c>
      <c r="N115" s="65">
        <v>0</v>
      </c>
      <c r="P115" s="28">
        <f>+EOMONTH(M115,N115)</f>
        <v>45991</v>
      </c>
      <c r="S115" s="24"/>
      <c r="T115" s="57"/>
      <c r="U115" s="58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  <c r="BA115" s="59"/>
      <c r="BB115" s="59"/>
      <c r="BC115" s="59"/>
      <c r="BD115" s="59"/>
      <c r="BE115" s="59"/>
      <c r="BF115" s="59"/>
      <c r="BG115" s="59"/>
      <c r="BH115" s="59"/>
      <c r="BI115" s="59"/>
      <c r="BJ115" s="59"/>
      <c r="BK115" s="59"/>
      <c r="BL115" s="59"/>
      <c r="BM115" s="59"/>
      <c r="BN115" s="59"/>
      <c r="BO115" s="59"/>
      <c r="BP115" s="59"/>
      <c r="BQ115" s="59"/>
      <c r="BR115" s="59"/>
      <c r="BS115" s="59"/>
      <c r="BT115" s="59"/>
      <c r="BU115" s="59"/>
      <c r="BV115" s="59"/>
      <c r="BW115" s="59"/>
      <c r="BX115" s="59"/>
      <c r="BY115" s="59"/>
      <c r="BZ115" s="59"/>
      <c r="CA115" s="59"/>
      <c r="CB115" s="59"/>
      <c r="CC115" s="59"/>
      <c r="CD115" s="59"/>
      <c r="CE115" s="59"/>
      <c r="CF115" s="59"/>
      <c r="CG115" s="59"/>
      <c r="CH115" s="59"/>
      <c r="CI115" s="59"/>
      <c r="CJ115" s="59"/>
      <c r="CK115" s="59"/>
      <c r="CL115" s="59"/>
      <c r="CM115" s="59"/>
      <c r="CN115" s="59"/>
      <c r="CO115" s="59"/>
      <c r="CP115" s="59"/>
      <c r="CQ115" s="59"/>
      <c r="CR115" s="59"/>
      <c r="CS115" s="59"/>
      <c r="CT115" s="59"/>
      <c r="CU115" s="59"/>
      <c r="CV115" s="59"/>
      <c r="CW115" s="59"/>
      <c r="CX115" s="59"/>
      <c r="CY115" s="59"/>
      <c r="CZ115" s="59"/>
      <c r="DA115" s="59"/>
      <c r="DB115" s="59"/>
      <c r="DC115" s="21" t="s">
        <v>11</v>
      </c>
    </row>
    <row r="116" spans="2:137">
      <c r="B116" s="68" t="s">
        <v>212</v>
      </c>
      <c r="C116" s="292">
        <f>+SUM(C112:C115)</f>
        <v>1</v>
      </c>
      <c r="D116" s="293">
        <f>+SUM(D112:D115)</f>
        <v>1</v>
      </c>
      <c r="E116" s="100">
        <f>+SUM(E112:E115)</f>
        <v>862046</v>
      </c>
      <c r="I116" s="9" t="s">
        <v>213</v>
      </c>
      <c r="M116" s="28">
        <f>+P115</f>
        <v>45991</v>
      </c>
      <c r="N116" s="65">
        <v>0</v>
      </c>
      <c r="P116" s="28">
        <f>+EOMONTH(M116,N116)</f>
        <v>45991</v>
      </c>
      <c r="T116" s="68"/>
      <c r="U116" s="69"/>
      <c r="V116" s="70"/>
      <c r="W116" s="70"/>
      <c r="X116" s="70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  <c r="AI116" s="70"/>
      <c r="AJ116" s="70"/>
      <c r="AK116" s="70"/>
      <c r="AL116" s="70"/>
      <c r="AM116" s="70"/>
      <c r="AN116" s="70"/>
      <c r="AO116" s="70"/>
      <c r="AP116" s="70"/>
      <c r="AQ116" s="70"/>
      <c r="AR116" s="70"/>
      <c r="AS116" s="70"/>
      <c r="AT116" s="70"/>
      <c r="AU116" s="70"/>
      <c r="AV116" s="70"/>
      <c r="AW116" s="70"/>
      <c r="AX116" s="70"/>
      <c r="AY116" s="70"/>
      <c r="AZ116" s="70"/>
      <c r="BA116" s="70"/>
      <c r="BB116" s="70"/>
      <c r="BC116" s="70"/>
      <c r="BD116" s="70"/>
      <c r="BE116" s="70"/>
      <c r="BF116" s="70"/>
      <c r="BG116" s="70"/>
      <c r="BH116" s="70"/>
      <c r="BI116" s="70"/>
      <c r="BJ116" s="70"/>
      <c r="BK116" s="70"/>
      <c r="BL116" s="70"/>
      <c r="BM116" s="70"/>
      <c r="BN116" s="70"/>
      <c r="BO116" s="70"/>
      <c r="BP116" s="70"/>
      <c r="BQ116" s="70"/>
      <c r="BR116" s="70"/>
      <c r="BS116" s="70"/>
      <c r="BT116" s="70"/>
      <c r="BU116" s="70"/>
      <c r="BV116" s="70"/>
      <c r="BW116" s="70"/>
      <c r="BX116" s="70"/>
      <c r="BY116" s="70"/>
      <c r="BZ116" s="70"/>
      <c r="CA116" s="70"/>
      <c r="CB116" s="70"/>
      <c r="CC116" s="70"/>
      <c r="CD116" s="70"/>
      <c r="CE116" s="70"/>
      <c r="CF116" s="70"/>
      <c r="CG116" s="70"/>
      <c r="CH116" s="70"/>
      <c r="CI116" s="70"/>
      <c r="CJ116" s="70"/>
      <c r="CK116" s="70"/>
      <c r="CL116" s="70"/>
      <c r="CM116" s="70"/>
      <c r="CN116" s="70"/>
      <c r="CO116" s="70"/>
      <c r="CP116" s="70"/>
      <c r="CQ116" s="70"/>
      <c r="CR116" s="70"/>
      <c r="CS116" s="70"/>
      <c r="CT116" s="70"/>
      <c r="CU116" s="70"/>
      <c r="CV116" s="70"/>
      <c r="CW116" s="70"/>
      <c r="CX116" s="70"/>
      <c r="CY116" s="70"/>
      <c r="CZ116" s="70"/>
      <c r="DA116" s="70"/>
      <c r="DB116" s="70"/>
      <c r="DC116" s="21" t="s">
        <v>11</v>
      </c>
    </row>
    <row r="117" spans="2:137">
      <c r="E117" s="294"/>
      <c r="F117" s="294"/>
      <c r="I117" s="9" t="s">
        <v>214</v>
      </c>
      <c r="M117" s="28">
        <f>+M114</f>
        <v>45931</v>
      </c>
      <c r="N117" s="9">
        <f>+N114</f>
        <v>1</v>
      </c>
      <c r="P117" s="28">
        <f>+P114</f>
        <v>45991</v>
      </c>
      <c r="U117" s="282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  <c r="BA117" s="59"/>
      <c r="BB117" s="59"/>
      <c r="BC117" s="59"/>
      <c r="BD117" s="59"/>
      <c r="BE117" s="59"/>
      <c r="BF117" s="59"/>
      <c r="BG117" s="59"/>
      <c r="BH117" s="59"/>
      <c r="BI117" s="59"/>
      <c r="BJ117" s="59"/>
      <c r="BK117" s="59"/>
      <c r="BL117" s="59"/>
      <c r="BM117" s="59"/>
      <c r="BN117" s="59"/>
      <c r="BO117" s="59"/>
      <c r="BP117" s="59"/>
      <c r="BQ117" s="59"/>
      <c r="BR117" s="59"/>
      <c r="BS117" s="59"/>
      <c r="BT117" s="59"/>
      <c r="BU117" s="59"/>
      <c r="BV117" s="59"/>
      <c r="BW117" s="59"/>
      <c r="BX117" s="59"/>
      <c r="BY117" s="59"/>
      <c r="BZ117" s="59"/>
      <c r="CA117" s="59"/>
      <c r="CB117" s="59"/>
      <c r="CC117" s="59"/>
      <c r="CD117" s="59"/>
      <c r="CE117" s="59"/>
      <c r="CF117" s="59"/>
      <c r="CG117" s="59"/>
      <c r="CH117" s="59"/>
      <c r="CI117" s="59"/>
      <c r="CJ117" s="59"/>
      <c r="CK117" s="59"/>
      <c r="CL117" s="59"/>
      <c r="CM117" s="59"/>
      <c r="CN117" s="59"/>
      <c r="CO117" s="59"/>
      <c r="CP117" s="59"/>
      <c r="CQ117" s="59"/>
      <c r="CR117" s="59"/>
      <c r="CS117" s="59"/>
      <c r="CT117" s="59"/>
      <c r="CU117" s="59"/>
      <c r="CV117" s="59"/>
      <c r="CW117" s="59"/>
      <c r="CX117" s="59"/>
      <c r="CY117" s="59"/>
      <c r="CZ117" s="59"/>
      <c r="DA117" s="59"/>
      <c r="DB117" s="59"/>
      <c r="DC117" s="21" t="s">
        <v>11</v>
      </c>
    </row>
    <row r="118" spans="2:137">
      <c r="B118" s="53" t="s">
        <v>72</v>
      </c>
      <c r="C118" s="295" t="s">
        <v>50</v>
      </c>
      <c r="D118" s="296" t="s">
        <v>204</v>
      </c>
      <c r="E118" s="22" t="s">
        <v>205</v>
      </c>
      <c r="F118" s="294"/>
      <c r="I118" s="9" t="s">
        <v>215</v>
      </c>
      <c r="M118" s="28">
        <f>+P115</f>
        <v>45991</v>
      </c>
      <c r="N118" s="9">
        <f>+N120+N121</f>
        <v>3</v>
      </c>
      <c r="P118" s="28">
        <f>+EOMONTH(M118,N118)</f>
        <v>46081</v>
      </c>
      <c r="T118" s="297"/>
      <c r="U118" s="298"/>
      <c r="V118" s="299"/>
      <c r="W118" s="299"/>
      <c r="X118" s="299"/>
      <c r="Y118" s="299"/>
      <c r="Z118" s="299"/>
      <c r="AA118" s="299"/>
      <c r="AB118" s="299"/>
      <c r="AC118" s="299"/>
      <c r="AD118" s="299"/>
      <c r="AE118" s="299"/>
      <c r="AF118" s="299"/>
      <c r="AG118" s="299"/>
      <c r="AH118" s="299"/>
      <c r="AI118" s="299"/>
      <c r="AJ118" s="299"/>
      <c r="AK118" s="299"/>
      <c r="AL118" s="299"/>
      <c r="AM118" s="299"/>
      <c r="AN118" s="299"/>
      <c r="AO118" s="299"/>
      <c r="AP118" s="299"/>
      <c r="AQ118" s="299"/>
      <c r="AR118" s="299"/>
      <c r="AS118" s="299"/>
      <c r="AT118" s="299"/>
      <c r="AU118" s="299"/>
      <c r="AV118" s="299"/>
      <c r="AW118" s="299"/>
      <c r="AX118" s="299"/>
      <c r="AY118" s="299"/>
      <c r="AZ118" s="299"/>
      <c r="BA118" s="299"/>
      <c r="BB118" s="299"/>
      <c r="BC118" s="299"/>
      <c r="BD118" s="299"/>
      <c r="BE118" s="299"/>
      <c r="BF118" s="299"/>
      <c r="BG118" s="299"/>
      <c r="BH118" s="299"/>
      <c r="BI118" s="299"/>
      <c r="BJ118" s="299"/>
      <c r="BK118" s="299"/>
      <c r="BL118" s="299"/>
      <c r="BM118" s="299"/>
      <c r="BN118" s="299"/>
      <c r="BO118" s="299"/>
      <c r="BP118" s="299"/>
      <c r="BQ118" s="299"/>
      <c r="BR118" s="299"/>
      <c r="BS118" s="299"/>
      <c r="BT118" s="299"/>
      <c r="BU118" s="299"/>
      <c r="BV118" s="299"/>
      <c r="BW118" s="299"/>
      <c r="BX118" s="299"/>
      <c r="BY118" s="299"/>
      <c r="BZ118" s="299"/>
      <c r="CA118" s="299"/>
      <c r="CB118" s="299"/>
      <c r="CC118" s="299"/>
      <c r="CD118" s="299"/>
      <c r="CE118" s="299"/>
      <c r="CF118" s="299"/>
      <c r="CG118" s="299"/>
      <c r="CH118" s="299"/>
      <c r="CI118" s="299"/>
      <c r="CJ118" s="299"/>
      <c r="CK118" s="299"/>
      <c r="CL118" s="299"/>
      <c r="CM118" s="299"/>
      <c r="CN118" s="299"/>
      <c r="CO118" s="299"/>
      <c r="CP118" s="299"/>
      <c r="CQ118" s="299"/>
      <c r="CR118" s="299"/>
      <c r="CS118" s="299"/>
      <c r="CT118" s="299"/>
      <c r="CU118" s="299"/>
      <c r="CV118" s="299"/>
      <c r="CW118" s="299"/>
      <c r="CX118" s="299"/>
      <c r="CY118" s="299"/>
      <c r="CZ118" s="299"/>
      <c r="DA118" s="299"/>
      <c r="DB118" s="299"/>
      <c r="DC118" s="21" t="s">
        <v>11</v>
      </c>
      <c r="DD118" s="300"/>
      <c r="DE118" s="300"/>
      <c r="DF118" s="300"/>
      <c r="DG118" s="300"/>
      <c r="DH118" s="300"/>
      <c r="DI118" s="300"/>
      <c r="DJ118" s="300"/>
      <c r="DK118" s="300"/>
      <c r="DL118" s="300"/>
      <c r="DM118" s="300"/>
      <c r="DN118" s="300"/>
      <c r="DO118" s="300"/>
      <c r="DP118" s="300"/>
      <c r="DQ118" s="300"/>
      <c r="DR118" s="300"/>
      <c r="DS118" s="300"/>
      <c r="DT118" s="300"/>
      <c r="DU118" s="300"/>
      <c r="DV118" s="300"/>
      <c r="DW118" s="300"/>
      <c r="DX118" s="300"/>
      <c r="DY118" s="300"/>
      <c r="DZ118" s="300"/>
      <c r="EA118" s="300"/>
      <c r="EB118" s="300"/>
      <c r="EC118" s="300"/>
      <c r="ED118" s="300"/>
      <c r="EE118" s="300"/>
      <c r="EF118" s="300"/>
      <c r="EG118" s="300"/>
    </row>
    <row r="119" spans="2:137">
      <c r="B119" s="57" t="s">
        <v>211</v>
      </c>
      <c r="C119" s="24">
        <v>0.15</v>
      </c>
      <c r="D119" s="301">
        <f>+C119*$D$122</f>
        <v>22080</v>
      </c>
      <c r="E119" s="28">
        <f>+M120</f>
        <v>45991</v>
      </c>
      <c r="F119" s="294"/>
      <c r="I119" s="9" t="s">
        <v>76</v>
      </c>
      <c r="M119" s="28">
        <f>+EOMONTH(P121,-1)</f>
        <v>46053</v>
      </c>
      <c r="N119" s="9">
        <v>1</v>
      </c>
      <c r="P119" s="28">
        <f>+EOMONTH(M119,N119)</f>
        <v>46081</v>
      </c>
      <c r="T119" s="297"/>
      <c r="U119" s="298"/>
      <c r="V119" s="299"/>
      <c r="W119" s="299"/>
      <c r="X119" s="299"/>
      <c r="Y119" s="299"/>
      <c r="Z119" s="299"/>
      <c r="AA119" s="299"/>
      <c r="AB119" s="299"/>
      <c r="AC119" s="299"/>
      <c r="AD119" s="299"/>
      <c r="AE119" s="299"/>
      <c r="AF119" s="299"/>
      <c r="AG119" s="299"/>
      <c r="AH119" s="299"/>
      <c r="AI119" s="299"/>
      <c r="AJ119" s="299"/>
      <c r="AK119" s="299"/>
      <c r="AL119" s="299"/>
      <c r="AM119" s="299"/>
      <c r="AN119" s="299"/>
      <c r="AO119" s="299"/>
      <c r="AP119" s="299"/>
      <c r="AQ119" s="299"/>
      <c r="AR119" s="299"/>
      <c r="AS119" s="299"/>
      <c r="AT119" s="299"/>
      <c r="AU119" s="299"/>
      <c r="AV119" s="299"/>
      <c r="AW119" s="299"/>
      <c r="AX119" s="299"/>
      <c r="AY119" s="299"/>
      <c r="AZ119" s="299"/>
      <c r="BA119" s="299"/>
      <c r="BB119" s="299"/>
      <c r="BC119" s="299"/>
      <c r="BD119" s="299"/>
      <c r="BE119" s="299"/>
      <c r="BF119" s="299"/>
      <c r="BG119" s="299"/>
      <c r="BH119" s="299"/>
      <c r="BI119" s="299"/>
      <c r="BJ119" s="299"/>
      <c r="BK119" s="299"/>
      <c r="BL119" s="299"/>
      <c r="BM119" s="299"/>
      <c r="BN119" s="299"/>
      <c r="BO119" s="299"/>
      <c r="BP119" s="299"/>
      <c r="BQ119" s="299"/>
      <c r="BR119" s="299"/>
      <c r="BS119" s="299"/>
      <c r="BT119" s="299"/>
      <c r="BU119" s="299"/>
      <c r="BV119" s="299"/>
      <c r="BW119" s="299"/>
      <c r="BX119" s="299"/>
      <c r="BY119" s="299"/>
      <c r="BZ119" s="299"/>
      <c r="CA119" s="299"/>
      <c r="CB119" s="299"/>
      <c r="CC119" s="299"/>
      <c r="CD119" s="299"/>
      <c r="CE119" s="299"/>
      <c r="CF119" s="299"/>
      <c r="CG119" s="299"/>
      <c r="CH119" s="299"/>
      <c r="CI119" s="299"/>
      <c r="CJ119" s="299"/>
      <c r="CK119" s="299"/>
      <c r="CL119" s="299"/>
      <c r="CM119" s="299"/>
      <c r="CN119" s="299"/>
      <c r="CO119" s="299"/>
      <c r="CP119" s="299"/>
      <c r="CQ119" s="299"/>
      <c r="CR119" s="299"/>
      <c r="CS119" s="299"/>
      <c r="CT119" s="299"/>
      <c r="CU119" s="299"/>
      <c r="CV119" s="299"/>
      <c r="CW119" s="299"/>
      <c r="CX119" s="299"/>
      <c r="CY119" s="299"/>
      <c r="CZ119" s="299"/>
      <c r="DA119" s="299"/>
      <c r="DB119" s="299"/>
      <c r="DC119" s="21" t="s">
        <v>11</v>
      </c>
    </row>
    <row r="120" spans="2:137">
      <c r="B120" s="57" t="s">
        <v>216</v>
      </c>
      <c r="C120" s="95">
        <f>1-C119-C121</f>
        <v>0.75</v>
      </c>
      <c r="D120" s="301">
        <f>+C120*$D$122</f>
        <v>110400</v>
      </c>
      <c r="E120" s="28">
        <f>+P120</f>
        <v>46053</v>
      </c>
      <c r="F120" s="294"/>
      <c r="I120" s="9" t="s">
        <v>216</v>
      </c>
      <c r="M120" s="28">
        <f>+EOMONTH(P115,0)</f>
        <v>45991</v>
      </c>
      <c r="N120" s="65">
        <v>2</v>
      </c>
      <c r="O120" s="65"/>
      <c r="P120" s="28">
        <f>+EOMONTH(M120,N120)</f>
        <v>46053</v>
      </c>
      <c r="T120" s="302"/>
      <c r="U120" s="298"/>
      <c r="V120" s="299"/>
      <c r="W120" s="299"/>
      <c r="X120" s="299"/>
      <c r="Y120" s="299"/>
      <c r="Z120" s="299"/>
      <c r="AA120" s="299"/>
      <c r="AB120" s="299"/>
      <c r="AC120" s="299"/>
      <c r="AD120" s="299"/>
      <c r="AE120" s="299"/>
      <c r="AF120" s="299"/>
      <c r="AG120" s="299"/>
      <c r="AH120" s="299"/>
      <c r="AI120" s="299"/>
      <c r="AJ120" s="299"/>
      <c r="AK120" s="299"/>
      <c r="AL120" s="299"/>
      <c r="AM120" s="299"/>
      <c r="AN120" s="299"/>
      <c r="AO120" s="299"/>
      <c r="AP120" s="299"/>
      <c r="AQ120" s="299"/>
      <c r="AR120" s="299"/>
      <c r="AS120" s="299"/>
      <c r="AT120" s="299"/>
      <c r="AU120" s="299"/>
      <c r="AV120" s="299"/>
      <c r="AW120" s="299"/>
      <c r="AX120" s="299"/>
      <c r="AY120" s="299"/>
      <c r="AZ120" s="299"/>
      <c r="BA120" s="299"/>
      <c r="BB120" s="299"/>
      <c r="BC120" s="299"/>
      <c r="BD120" s="299"/>
      <c r="BE120" s="299"/>
      <c r="BF120" s="299"/>
      <c r="BG120" s="299"/>
      <c r="BH120" s="299"/>
      <c r="BI120" s="299"/>
      <c r="BJ120" s="299"/>
      <c r="BK120" s="299"/>
      <c r="BL120" s="299"/>
      <c r="BM120" s="299"/>
      <c r="BN120" s="299"/>
      <c r="BO120" s="299"/>
      <c r="BP120" s="299"/>
      <c r="BQ120" s="299"/>
      <c r="BR120" s="299"/>
      <c r="BS120" s="299"/>
      <c r="BT120" s="299"/>
      <c r="BU120" s="299"/>
      <c r="BV120" s="299"/>
      <c r="BW120" s="299"/>
      <c r="BX120" s="299"/>
      <c r="BY120" s="299"/>
      <c r="BZ120" s="299"/>
      <c r="CA120" s="299"/>
      <c r="CB120" s="299"/>
      <c r="CC120" s="299"/>
      <c r="CD120" s="299"/>
      <c r="CE120" s="299"/>
      <c r="CF120" s="299"/>
      <c r="CG120" s="299"/>
      <c r="CH120" s="299"/>
      <c r="CI120" s="299"/>
      <c r="CJ120" s="299"/>
      <c r="CK120" s="299"/>
      <c r="CL120" s="299"/>
      <c r="CM120" s="299"/>
      <c r="CN120" s="299"/>
      <c r="CO120" s="299"/>
      <c r="CP120" s="299"/>
      <c r="CQ120" s="299"/>
      <c r="CR120" s="299"/>
      <c r="CS120" s="299"/>
      <c r="CT120" s="299"/>
      <c r="CU120" s="299"/>
      <c r="CV120" s="299"/>
      <c r="CW120" s="299"/>
      <c r="CX120" s="299"/>
      <c r="CY120" s="299"/>
      <c r="CZ120" s="299"/>
      <c r="DA120" s="299"/>
      <c r="DB120" s="299"/>
      <c r="DC120" s="21" t="s">
        <v>11</v>
      </c>
    </row>
    <row r="121" spans="2:137">
      <c r="B121" s="62" t="s">
        <v>217</v>
      </c>
      <c r="C121" s="55">
        <v>0.1</v>
      </c>
      <c r="D121" s="303">
        <f>+C121*$D$122</f>
        <v>14720</v>
      </c>
      <c r="E121" s="291">
        <f>+P121</f>
        <v>46081</v>
      </c>
      <c r="F121" s="294"/>
      <c r="I121" s="9" t="s">
        <v>218</v>
      </c>
      <c r="M121" s="28">
        <f>+P120</f>
        <v>46053</v>
      </c>
      <c r="N121" s="9">
        <v>1</v>
      </c>
      <c r="P121" s="28">
        <f>+EOMONTH(M121,N121)</f>
        <v>46081</v>
      </c>
      <c r="DC121" s="21" t="s">
        <v>11</v>
      </c>
    </row>
    <row r="122" spans="2:137">
      <c r="B122" s="38" t="s">
        <v>29</v>
      </c>
      <c r="C122" s="304">
        <f>+SUM(C119:C121)</f>
        <v>1</v>
      </c>
      <c r="D122" s="305">
        <f>+$E$53</f>
        <v>147200</v>
      </c>
      <c r="E122" s="294"/>
      <c r="F122" s="294"/>
      <c r="I122" s="9" t="s">
        <v>124</v>
      </c>
      <c r="M122" s="28">
        <f>+P121</f>
        <v>46081</v>
      </c>
      <c r="N122" s="65">
        <v>3</v>
      </c>
      <c r="P122" s="28">
        <f>+EOMONTH(M122,N122)</f>
        <v>46173</v>
      </c>
      <c r="DC122" s="21" t="s">
        <v>11</v>
      </c>
    </row>
    <row r="123" spans="2:137">
      <c r="B123" s="68"/>
      <c r="C123" s="306"/>
      <c r="D123" s="307"/>
      <c r="E123" s="294"/>
      <c r="F123" s="294"/>
      <c r="I123" s="7" t="s">
        <v>219</v>
      </c>
      <c r="J123" s="7"/>
      <c r="K123" s="7"/>
      <c r="L123" s="7"/>
      <c r="M123" s="308">
        <f>+EOMONTH(M114,0)</f>
        <v>45961</v>
      </c>
      <c r="N123" s="7">
        <f>+U141</f>
        <v>8</v>
      </c>
      <c r="O123" s="7"/>
      <c r="P123" s="308">
        <f>+P122</f>
        <v>46173</v>
      </c>
      <c r="DC123" s="21" t="s">
        <v>11</v>
      </c>
    </row>
    <row r="124" spans="2:137">
      <c r="B124" s="53" t="s">
        <v>220</v>
      </c>
      <c r="C124" s="295" t="s">
        <v>50</v>
      </c>
      <c r="D124" s="296" t="s">
        <v>204</v>
      </c>
      <c r="E124" s="22" t="s">
        <v>205</v>
      </c>
      <c r="F124" s="294"/>
      <c r="I124" s="9" t="s">
        <v>221</v>
      </c>
      <c r="T124" s="53"/>
      <c r="DC124" s="21" t="s">
        <v>11</v>
      </c>
    </row>
    <row r="125" spans="2:137">
      <c r="B125" s="57" t="s">
        <v>211</v>
      </c>
      <c r="C125" s="24">
        <v>1</v>
      </c>
      <c r="D125" s="301">
        <f>+C125*$E$56</f>
        <v>1815</v>
      </c>
      <c r="E125" s="309">
        <f>+M120</f>
        <v>45991</v>
      </c>
      <c r="F125" s="294"/>
      <c r="I125" s="310"/>
      <c r="K125" s="279"/>
      <c r="L125" s="279"/>
      <c r="M125" s="279"/>
      <c r="N125" s="279"/>
      <c r="O125" s="279"/>
      <c r="P125" s="68"/>
      <c r="S125" s="311"/>
      <c r="U125" s="312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21" t="s">
        <v>11</v>
      </c>
    </row>
    <row r="126" spans="2:137">
      <c r="B126" s="57" t="s">
        <v>216</v>
      </c>
      <c r="C126" s="24">
        <v>0</v>
      </c>
      <c r="D126" s="301">
        <f>+C126*$E$56</f>
        <v>0</v>
      </c>
      <c r="E126" s="309">
        <f>+P120</f>
        <v>46053</v>
      </c>
      <c r="F126" s="294"/>
      <c r="DC126" s="21" t="s">
        <v>11</v>
      </c>
    </row>
    <row r="127" spans="2:137">
      <c r="B127" s="62" t="s">
        <v>217</v>
      </c>
      <c r="C127" s="55">
        <v>0</v>
      </c>
      <c r="D127" s="303">
        <f>+C127*$E$56</f>
        <v>0</v>
      </c>
      <c r="E127" s="313">
        <f>+P121</f>
        <v>46081</v>
      </c>
      <c r="F127" s="294"/>
      <c r="I127" s="114" t="s">
        <v>222</v>
      </c>
      <c r="J127" s="314" t="s">
        <v>50</v>
      </c>
      <c r="K127" s="314" t="s">
        <v>223</v>
      </c>
      <c r="L127" s="314" t="s">
        <v>224</v>
      </c>
      <c r="M127" s="315"/>
      <c r="N127" s="316"/>
      <c r="O127" s="316"/>
      <c r="P127" s="317"/>
      <c r="T127" s="318" t="s">
        <v>225</v>
      </c>
      <c r="U127" s="319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21" t="s">
        <v>11</v>
      </c>
    </row>
    <row r="128" spans="2:137">
      <c r="B128" s="68" t="s">
        <v>29</v>
      </c>
      <c r="C128" s="320">
        <f>+SUM(C125:C127)</f>
        <v>1</v>
      </c>
      <c r="D128" s="305">
        <f>+SUM(D125:D127)</f>
        <v>1815</v>
      </c>
      <c r="E128" s="38"/>
      <c r="I128" s="321" t="s">
        <v>226</v>
      </c>
      <c r="J128" s="322">
        <v>0.05</v>
      </c>
      <c r="K128" s="323">
        <f>+E34*J128</f>
        <v>39250</v>
      </c>
      <c r="L128" s="324"/>
      <c r="M128" s="38"/>
      <c r="N128" s="325"/>
      <c r="O128" s="317"/>
      <c r="P128" s="38"/>
      <c r="T128" s="9" t="s">
        <v>206</v>
      </c>
      <c r="V128" s="9">
        <f t="shared" ref="V128:CG128" si="128">+(V8&gt;$M$111)*(V8&lt;=$P$111)*1</f>
        <v>0</v>
      </c>
      <c r="W128" s="9">
        <f t="shared" si="128"/>
        <v>1</v>
      </c>
      <c r="X128" s="9">
        <f t="shared" si="128"/>
        <v>1</v>
      </c>
      <c r="Y128" s="9">
        <f t="shared" si="128"/>
        <v>1</v>
      </c>
      <c r="Z128" s="9">
        <f t="shared" si="128"/>
        <v>1</v>
      </c>
      <c r="AA128" s="9">
        <f t="shared" si="128"/>
        <v>1</v>
      </c>
      <c r="AB128" s="9">
        <f t="shared" si="128"/>
        <v>1</v>
      </c>
      <c r="AC128" s="9">
        <f t="shared" si="128"/>
        <v>1</v>
      </c>
      <c r="AD128" s="9">
        <f t="shared" si="128"/>
        <v>1</v>
      </c>
      <c r="AE128" s="9">
        <f t="shared" si="128"/>
        <v>1</v>
      </c>
      <c r="AF128" s="9">
        <f t="shared" si="128"/>
        <v>1</v>
      </c>
      <c r="AG128" s="9">
        <f t="shared" si="128"/>
        <v>1</v>
      </c>
      <c r="AH128" s="9">
        <f t="shared" si="128"/>
        <v>1</v>
      </c>
      <c r="AI128" s="9">
        <f t="shared" si="128"/>
        <v>1</v>
      </c>
      <c r="AJ128" s="9">
        <f t="shared" si="128"/>
        <v>1</v>
      </c>
      <c r="AK128" s="9">
        <f t="shared" si="128"/>
        <v>1</v>
      </c>
      <c r="AL128" s="9">
        <f t="shared" si="128"/>
        <v>1</v>
      </c>
      <c r="AM128" s="9">
        <f t="shared" si="128"/>
        <v>1</v>
      </c>
      <c r="AN128" s="9">
        <f t="shared" si="128"/>
        <v>1</v>
      </c>
      <c r="AO128" s="9">
        <f t="shared" si="128"/>
        <v>1</v>
      </c>
      <c r="AP128" s="9">
        <f t="shared" si="128"/>
        <v>1</v>
      </c>
      <c r="AQ128" s="9">
        <f t="shared" si="128"/>
        <v>1</v>
      </c>
      <c r="AR128" s="9">
        <f t="shared" si="128"/>
        <v>1</v>
      </c>
      <c r="AS128" s="9">
        <f t="shared" si="128"/>
        <v>1</v>
      </c>
      <c r="AT128" s="9">
        <f t="shared" si="128"/>
        <v>1</v>
      </c>
      <c r="AU128" s="9">
        <f t="shared" si="128"/>
        <v>1</v>
      </c>
      <c r="AV128" s="9">
        <f t="shared" si="128"/>
        <v>1</v>
      </c>
      <c r="AW128" s="9">
        <f t="shared" si="128"/>
        <v>1</v>
      </c>
      <c r="AX128" s="9">
        <f t="shared" si="128"/>
        <v>1</v>
      </c>
      <c r="AY128" s="9">
        <f t="shared" si="128"/>
        <v>1</v>
      </c>
      <c r="AZ128" s="9">
        <f t="shared" si="128"/>
        <v>1</v>
      </c>
      <c r="BA128" s="9">
        <f t="shared" si="128"/>
        <v>1</v>
      </c>
      <c r="BB128" s="9">
        <f t="shared" si="128"/>
        <v>1</v>
      </c>
      <c r="BC128" s="9">
        <f t="shared" si="128"/>
        <v>1</v>
      </c>
      <c r="BD128" s="9">
        <f t="shared" si="128"/>
        <v>1</v>
      </c>
      <c r="BE128" s="9">
        <f t="shared" si="128"/>
        <v>1</v>
      </c>
      <c r="BF128" s="9">
        <f t="shared" si="128"/>
        <v>1</v>
      </c>
      <c r="BG128" s="9">
        <f t="shared" si="128"/>
        <v>1</v>
      </c>
      <c r="BH128" s="9">
        <f t="shared" si="128"/>
        <v>1</v>
      </c>
      <c r="BI128" s="9">
        <f t="shared" si="128"/>
        <v>1</v>
      </c>
      <c r="BJ128" s="9">
        <f t="shared" si="128"/>
        <v>1</v>
      </c>
      <c r="BK128" s="9">
        <f t="shared" si="128"/>
        <v>1</v>
      </c>
      <c r="BL128" s="9">
        <f t="shared" si="128"/>
        <v>1</v>
      </c>
      <c r="BM128" s="9">
        <f t="shared" si="128"/>
        <v>1</v>
      </c>
      <c r="BN128" s="9">
        <f t="shared" si="128"/>
        <v>1</v>
      </c>
      <c r="BO128" s="9">
        <f t="shared" si="128"/>
        <v>1</v>
      </c>
      <c r="BP128" s="9">
        <f t="shared" si="128"/>
        <v>1</v>
      </c>
      <c r="BQ128" s="9">
        <f t="shared" si="128"/>
        <v>1</v>
      </c>
      <c r="BR128" s="9">
        <f t="shared" si="128"/>
        <v>1</v>
      </c>
      <c r="BS128" s="9">
        <f t="shared" si="128"/>
        <v>1</v>
      </c>
      <c r="BT128" s="9">
        <f t="shared" si="128"/>
        <v>1</v>
      </c>
      <c r="BU128" s="9">
        <f t="shared" si="128"/>
        <v>1</v>
      </c>
      <c r="BV128" s="9">
        <f t="shared" si="128"/>
        <v>1</v>
      </c>
      <c r="BW128" s="9">
        <f t="shared" si="128"/>
        <v>1</v>
      </c>
      <c r="BX128" s="9">
        <f t="shared" si="128"/>
        <v>1</v>
      </c>
      <c r="BY128" s="9">
        <f t="shared" si="128"/>
        <v>1</v>
      </c>
      <c r="BZ128" s="9">
        <f t="shared" si="128"/>
        <v>1</v>
      </c>
      <c r="CA128" s="9">
        <f t="shared" si="128"/>
        <v>1</v>
      </c>
      <c r="CB128" s="9">
        <f t="shared" si="128"/>
        <v>1</v>
      </c>
      <c r="CC128" s="9">
        <f t="shared" si="128"/>
        <v>1</v>
      </c>
      <c r="CD128" s="9">
        <f t="shared" si="128"/>
        <v>1</v>
      </c>
      <c r="CE128" s="9">
        <f t="shared" si="128"/>
        <v>1</v>
      </c>
      <c r="CF128" s="9">
        <f t="shared" si="128"/>
        <v>0</v>
      </c>
      <c r="CG128" s="9">
        <f t="shared" si="128"/>
        <v>0</v>
      </c>
      <c r="CH128" s="9">
        <f t="shared" ref="CH128:DB128" si="129">+(CH8&gt;$M$111)*(CH8&lt;=$P$111)*1</f>
        <v>0</v>
      </c>
      <c r="CI128" s="9">
        <f t="shared" si="129"/>
        <v>0</v>
      </c>
      <c r="CJ128" s="9">
        <f t="shared" si="129"/>
        <v>0</v>
      </c>
      <c r="CK128" s="9">
        <f t="shared" si="129"/>
        <v>0</v>
      </c>
      <c r="CL128" s="9">
        <f t="shared" si="129"/>
        <v>0</v>
      </c>
      <c r="CM128" s="9">
        <f t="shared" si="129"/>
        <v>0</v>
      </c>
      <c r="CN128" s="9">
        <f t="shared" si="129"/>
        <v>0</v>
      </c>
      <c r="CO128" s="9">
        <f t="shared" si="129"/>
        <v>0</v>
      </c>
      <c r="CP128" s="9">
        <f t="shared" si="129"/>
        <v>0</v>
      </c>
      <c r="CQ128" s="9">
        <f t="shared" si="129"/>
        <v>0</v>
      </c>
      <c r="CR128" s="9">
        <f t="shared" si="129"/>
        <v>0</v>
      </c>
      <c r="CS128" s="9">
        <f t="shared" si="129"/>
        <v>0</v>
      </c>
      <c r="CT128" s="9">
        <f t="shared" si="129"/>
        <v>0</v>
      </c>
      <c r="CU128" s="9">
        <f t="shared" si="129"/>
        <v>0</v>
      </c>
      <c r="CV128" s="9">
        <f t="shared" si="129"/>
        <v>0</v>
      </c>
      <c r="CW128" s="9">
        <f t="shared" si="129"/>
        <v>0</v>
      </c>
      <c r="CX128" s="9">
        <f t="shared" si="129"/>
        <v>0</v>
      </c>
      <c r="CY128" s="9">
        <f t="shared" si="129"/>
        <v>0</v>
      </c>
      <c r="CZ128" s="9">
        <f t="shared" si="129"/>
        <v>0</v>
      </c>
      <c r="DA128" s="9">
        <f t="shared" si="129"/>
        <v>0</v>
      </c>
      <c r="DB128" s="9">
        <f t="shared" si="129"/>
        <v>0</v>
      </c>
      <c r="DC128" s="21" t="s">
        <v>11</v>
      </c>
    </row>
    <row r="129" spans="2:107">
      <c r="B129" s="57"/>
      <c r="C129" s="21"/>
      <c r="I129" s="321" t="s">
        <v>227</v>
      </c>
      <c r="J129" s="322">
        <v>0</v>
      </c>
      <c r="K129" s="323">
        <f>+J129*(E38+E39)</f>
        <v>0</v>
      </c>
      <c r="L129" s="324"/>
      <c r="M129" s="38"/>
      <c r="N129" s="325"/>
      <c r="O129" s="317"/>
      <c r="P129" s="38"/>
      <c r="T129" s="53" t="s">
        <v>216</v>
      </c>
      <c r="DC129" s="21" t="s">
        <v>11</v>
      </c>
    </row>
    <row r="130" spans="2:107">
      <c r="B130" s="326" t="s">
        <v>228</v>
      </c>
      <c r="C130" s="327" t="s">
        <v>229</v>
      </c>
      <c r="D130" s="327" t="s">
        <v>52</v>
      </c>
      <c r="E130" s="327" t="s">
        <v>230</v>
      </c>
      <c r="I130" s="328" t="s">
        <v>231</v>
      </c>
      <c r="J130" s="329"/>
      <c r="K130" s="330">
        <f>+SUM(K128:K129)</f>
        <v>39250</v>
      </c>
      <c r="L130" s="331">
        <v>45943</v>
      </c>
      <c r="M130" s="38"/>
      <c r="N130" s="325"/>
      <c r="O130" s="317"/>
      <c r="P130" s="38"/>
      <c r="T130" s="9" t="str">
        <f>+I114</f>
        <v>Arras/reserva</v>
      </c>
      <c r="U130" s="48">
        <f>+SUM(V130:DB130)</f>
        <v>1</v>
      </c>
      <c r="V130" s="9">
        <f t="shared" ref="V130:CG130" si="130">+(V8=$F$112)*1</f>
        <v>0</v>
      </c>
      <c r="W130" s="9">
        <f t="shared" si="130"/>
        <v>1</v>
      </c>
      <c r="X130" s="9">
        <f t="shared" si="130"/>
        <v>0</v>
      </c>
      <c r="Y130" s="9">
        <f t="shared" si="130"/>
        <v>0</v>
      </c>
      <c r="Z130" s="9">
        <f t="shared" si="130"/>
        <v>0</v>
      </c>
      <c r="AA130" s="9">
        <f t="shared" si="130"/>
        <v>0</v>
      </c>
      <c r="AB130" s="9">
        <f t="shared" si="130"/>
        <v>0</v>
      </c>
      <c r="AC130" s="9">
        <f t="shared" si="130"/>
        <v>0</v>
      </c>
      <c r="AD130" s="9">
        <f t="shared" si="130"/>
        <v>0</v>
      </c>
      <c r="AE130" s="9">
        <f t="shared" si="130"/>
        <v>0</v>
      </c>
      <c r="AF130" s="9">
        <f t="shared" si="130"/>
        <v>0</v>
      </c>
      <c r="AG130" s="9">
        <f t="shared" si="130"/>
        <v>0</v>
      </c>
      <c r="AH130" s="9">
        <f t="shared" si="130"/>
        <v>0</v>
      </c>
      <c r="AI130" s="9">
        <f t="shared" si="130"/>
        <v>0</v>
      </c>
      <c r="AJ130" s="9">
        <f t="shared" si="130"/>
        <v>0</v>
      </c>
      <c r="AK130" s="9">
        <f t="shared" si="130"/>
        <v>0</v>
      </c>
      <c r="AL130" s="9">
        <f t="shared" si="130"/>
        <v>0</v>
      </c>
      <c r="AM130" s="9">
        <f t="shared" si="130"/>
        <v>0</v>
      </c>
      <c r="AN130" s="9">
        <f t="shared" si="130"/>
        <v>0</v>
      </c>
      <c r="AO130" s="9">
        <f t="shared" si="130"/>
        <v>0</v>
      </c>
      <c r="AP130" s="9">
        <f t="shared" si="130"/>
        <v>0</v>
      </c>
      <c r="AQ130" s="9">
        <f t="shared" si="130"/>
        <v>0</v>
      </c>
      <c r="AR130" s="9">
        <f t="shared" si="130"/>
        <v>0</v>
      </c>
      <c r="AS130" s="9">
        <f t="shared" si="130"/>
        <v>0</v>
      </c>
      <c r="AT130" s="9">
        <f t="shared" si="130"/>
        <v>0</v>
      </c>
      <c r="AU130" s="9">
        <f t="shared" si="130"/>
        <v>0</v>
      </c>
      <c r="AV130" s="9">
        <f t="shared" si="130"/>
        <v>0</v>
      </c>
      <c r="AW130" s="9">
        <f t="shared" si="130"/>
        <v>0</v>
      </c>
      <c r="AX130" s="9">
        <f t="shared" si="130"/>
        <v>0</v>
      </c>
      <c r="AY130" s="9">
        <f t="shared" si="130"/>
        <v>0</v>
      </c>
      <c r="AZ130" s="9">
        <f t="shared" si="130"/>
        <v>0</v>
      </c>
      <c r="BA130" s="9">
        <f t="shared" si="130"/>
        <v>0</v>
      </c>
      <c r="BB130" s="9">
        <f t="shared" si="130"/>
        <v>0</v>
      </c>
      <c r="BC130" s="9">
        <f t="shared" si="130"/>
        <v>0</v>
      </c>
      <c r="BD130" s="9">
        <f t="shared" si="130"/>
        <v>0</v>
      </c>
      <c r="BE130" s="9">
        <f t="shared" si="130"/>
        <v>0</v>
      </c>
      <c r="BF130" s="9">
        <f t="shared" si="130"/>
        <v>0</v>
      </c>
      <c r="BG130" s="9">
        <f t="shared" si="130"/>
        <v>0</v>
      </c>
      <c r="BH130" s="9">
        <f t="shared" si="130"/>
        <v>0</v>
      </c>
      <c r="BI130" s="9">
        <f t="shared" si="130"/>
        <v>0</v>
      </c>
      <c r="BJ130" s="9">
        <f t="shared" si="130"/>
        <v>0</v>
      </c>
      <c r="BK130" s="9">
        <f t="shared" si="130"/>
        <v>0</v>
      </c>
      <c r="BL130" s="9">
        <f t="shared" si="130"/>
        <v>0</v>
      </c>
      <c r="BM130" s="9">
        <f t="shared" si="130"/>
        <v>0</v>
      </c>
      <c r="BN130" s="9">
        <f t="shared" si="130"/>
        <v>0</v>
      </c>
      <c r="BO130" s="9">
        <f t="shared" si="130"/>
        <v>0</v>
      </c>
      <c r="BP130" s="9">
        <f t="shared" si="130"/>
        <v>0</v>
      </c>
      <c r="BQ130" s="9">
        <f t="shared" si="130"/>
        <v>0</v>
      </c>
      <c r="BR130" s="9">
        <f t="shared" si="130"/>
        <v>0</v>
      </c>
      <c r="BS130" s="9">
        <f t="shared" si="130"/>
        <v>0</v>
      </c>
      <c r="BT130" s="9">
        <f t="shared" si="130"/>
        <v>0</v>
      </c>
      <c r="BU130" s="9">
        <f t="shared" si="130"/>
        <v>0</v>
      </c>
      <c r="BV130" s="9">
        <f t="shared" si="130"/>
        <v>0</v>
      </c>
      <c r="BW130" s="9">
        <f t="shared" si="130"/>
        <v>0</v>
      </c>
      <c r="BX130" s="9">
        <f t="shared" si="130"/>
        <v>0</v>
      </c>
      <c r="BY130" s="9">
        <f t="shared" si="130"/>
        <v>0</v>
      </c>
      <c r="BZ130" s="9">
        <f t="shared" si="130"/>
        <v>0</v>
      </c>
      <c r="CA130" s="9">
        <f t="shared" si="130"/>
        <v>0</v>
      </c>
      <c r="CB130" s="9">
        <f t="shared" si="130"/>
        <v>0</v>
      </c>
      <c r="CC130" s="9">
        <f t="shared" si="130"/>
        <v>0</v>
      </c>
      <c r="CD130" s="9">
        <f t="shared" si="130"/>
        <v>0</v>
      </c>
      <c r="CE130" s="9">
        <f t="shared" si="130"/>
        <v>0</v>
      </c>
      <c r="CF130" s="9">
        <f t="shared" si="130"/>
        <v>0</v>
      </c>
      <c r="CG130" s="9">
        <f t="shared" si="130"/>
        <v>0</v>
      </c>
      <c r="CH130" s="9">
        <f t="shared" ref="CH130:DB130" si="131">+(CH8=$F$112)*1</f>
        <v>0</v>
      </c>
      <c r="CI130" s="9">
        <f t="shared" si="131"/>
        <v>0</v>
      </c>
      <c r="CJ130" s="9">
        <f t="shared" si="131"/>
        <v>0</v>
      </c>
      <c r="CK130" s="9">
        <f t="shared" si="131"/>
        <v>0</v>
      </c>
      <c r="CL130" s="9">
        <f t="shared" si="131"/>
        <v>0</v>
      </c>
      <c r="CM130" s="9">
        <f t="shared" si="131"/>
        <v>0</v>
      </c>
      <c r="CN130" s="9">
        <f t="shared" si="131"/>
        <v>0</v>
      </c>
      <c r="CO130" s="9">
        <f t="shared" si="131"/>
        <v>0</v>
      </c>
      <c r="CP130" s="9">
        <f t="shared" si="131"/>
        <v>0</v>
      </c>
      <c r="CQ130" s="9">
        <f t="shared" si="131"/>
        <v>0</v>
      </c>
      <c r="CR130" s="9">
        <f t="shared" si="131"/>
        <v>0</v>
      </c>
      <c r="CS130" s="9">
        <f t="shared" si="131"/>
        <v>0</v>
      </c>
      <c r="CT130" s="9">
        <f t="shared" si="131"/>
        <v>0</v>
      </c>
      <c r="CU130" s="9">
        <f t="shared" si="131"/>
        <v>0</v>
      </c>
      <c r="CV130" s="9">
        <f t="shared" si="131"/>
        <v>0</v>
      </c>
      <c r="CW130" s="9">
        <f t="shared" si="131"/>
        <v>0</v>
      </c>
      <c r="CX130" s="9">
        <f t="shared" si="131"/>
        <v>0</v>
      </c>
      <c r="CY130" s="9">
        <f t="shared" si="131"/>
        <v>0</v>
      </c>
      <c r="CZ130" s="9">
        <f t="shared" si="131"/>
        <v>0</v>
      </c>
      <c r="DA130" s="9">
        <f t="shared" si="131"/>
        <v>0</v>
      </c>
      <c r="DB130" s="9">
        <f t="shared" si="131"/>
        <v>0</v>
      </c>
      <c r="DC130" s="21" t="s">
        <v>11</v>
      </c>
    </row>
    <row r="131" spans="2:107">
      <c r="B131" s="332" t="s">
        <v>124</v>
      </c>
      <c r="C131" s="333">
        <f>+P20</f>
        <v>1196800</v>
      </c>
      <c r="D131" s="333">
        <f>+C131/$D$22</f>
        <v>9350</v>
      </c>
      <c r="E131" s="334">
        <f>+-C131/$C$142</f>
        <v>1.1397302637106133</v>
      </c>
      <c r="F131" s="21"/>
      <c r="I131" s="14"/>
      <c r="J131" s="14"/>
      <c r="K131" s="335"/>
      <c r="L131" s="324"/>
      <c r="M131" s="336"/>
      <c r="N131" s="325"/>
      <c r="O131" s="38"/>
      <c r="P131" s="38"/>
      <c r="T131" s="9" t="s">
        <v>232</v>
      </c>
      <c r="U131" s="48">
        <f>+SUM(V131:DB131)</f>
        <v>1</v>
      </c>
      <c r="V131" s="9">
        <f>+(V8=$F$113)*1</f>
        <v>0</v>
      </c>
      <c r="W131" s="9">
        <f t="shared" ref="W131:CH131" si="132">+(W8=$F$113)*1</f>
        <v>1</v>
      </c>
      <c r="X131" s="9">
        <f t="shared" si="132"/>
        <v>0</v>
      </c>
      <c r="Y131" s="9">
        <f t="shared" si="132"/>
        <v>0</v>
      </c>
      <c r="Z131" s="9">
        <f t="shared" si="132"/>
        <v>0</v>
      </c>
      <c r="AA131" s="9">
        <f t="shared" si="132"/>
        <v>0</v>
      </c>
      <c r="AB131" s="9">
        <f t="shared" si="132"/>
        <v>0</v>
      </c>
      <c r="AC131" s="9">
        <f t="shared" si="132"/>
        <v>0</v>
      </c>
      <c r="AD131" s="9">
        <f t="shared" si="132"/>
        <v>0</v>
      </c>
      <c r="AE131" s="9">
        <f t="shared" si="132"/>
        <v>0</v>
      </c>
      <c r="AF131" s="9">
        <f t="shared" si="132"/>
        <v>0</v>
      </c>
      <c r="AG131" s="9">
        <f t="shared" si="132"/>
        <v>0</v>
      </c>
      <c r="AH131" s="9">
        <f t="shared" si="132"/>
        <v>0</v>
      </c>
      <c r="AI131" s="9">
        <f t="shared" si="132"/>
        <v>0</v>
      </c>
      <c r="AJ131" s="9">
        <f t="shared" si="132"/>
        <v>0</v>
      </c>
      <c r="AK131" s="9">
        <f t="shared" si="132"/>
        <v>0</v>
      </c>
      <c r="AL131" s="9">
        <f t="shared" si="132"/>
        <v>0</v>
      </c>
      <c r="AM131" s="9">
        <f t="shared" si="132"/>
        <v>0</v>
      </c>
      <c r="AN131" s="9">
        <f t="shared" si="132"/>
        <v>0</v>
      </c>
      <c r="AO131" s="9">
        <f t="shared" si="132"/>
        <v>0</v>
      </c>
      <c r="AP131" s="9">
        <f t="shared" si="132"/>
        <v>0</v>
      </c>
      <c r="AQ131" s="9">
        <f t="shared" si="132"/>
        <v>0</v>
      </c>
      <c r="AR131" s="9">
        <f t="shared" si="132"/>
        <v>0</v>
      </c>
      <c r="AS131" s="9">
        <f t="shared" si="132"/>
        <v>0</v>
      </c>
      <c r="AT131" s="9">
        <f t="shared" si="132"/>
        <v>0</v>
      </c>
      <c r="AU131" s="9">
        <f t="shared" si="132"/>
        <v>0</v>
      </c>
      <c r="AV131" s="9">
        <f t="shared" si="132"/>
        <v>0</v>
      </c>
      <c r="AW131" s="9">
        <f t="shared" si="132"/>
        <v>0</v>
      </c>
      <c r="AX131" s="9">
        <f t="shared" si="132"/>
        <v>0</v>
      </c>
      <c r="AY131" s="9">
        <f t="shared" si="132"/>
        <v>0</v>
      </c>
      <c r="AZ131" s="9">
        <f t="shared" si="132"/>
        <v>0</v>
      </c>
      <c r="BA131" s="9">
        <f t="shared" si="132"/>
        <v>0</v>
      </c>
      <c r="BB131" s="9">
        <f t="shared" si="132"/>
        <v>0</v>
      </c>
      <c r="BC131" s="9">
        <f t="shared" si="132"/>
        <v>0</v>
      </c>
      <c r="BD131" s="9">
        <f t="shared" si="132"/>
        <v>0</v>
      </c>
      <c r="BE131" s="9">
        <f t="shared" si="132"/>
        <v>0</v>
      </c>
      <c r="BF131" s="9">
        <f t="shared" si="132"/>
        <v>0</v>
      </c>
      <c r="BG131" s="9">
        <f t="shared" si="132"/>
        <v>0</v>
      </c>
      <c r="BH131" s="9">
        <f t="shared" si="132"/>
        <v>0</v>
      </c>
      <c r="BI131" s="9">
        <f t="shared" si="132"/>
        <v>0</v>
      </c>
      <c r="BJ131" s="9">
        <f t="shared" si="132"/>
        <v>0</v>
      </c>
      <c r="BK131" s="9">
        <f t="shared" si="132"/>
        <v>0</v>
      </c>
      <c r="BL131" s="9">
        <f t="shared" si="132"/>
        <v>0</v>
      </c>
      <c r="BM131" s="9">
        <f t="shared" si="132"/>
        <v>0</v>
      </c>
      <c r="BN131" s="9">
        <f t="shared" si="132"/>
        <v>0</v>
      </c>
      <c r="BO131" s="9">
        <f t="shared" si="132"/>
        <v>0</v>
      </c>
      <c r="BP131" s="9">
        <f t="shared" si="132"/>
        <v>0</v>
      </c>
      <c r="BQ131" s="9">
        <f t="shared" si="132"/>
        <v>0</v>
      </c>
      <c r="BR131" s="9">
        <f t="shared" si="132"/>
        <v>0</v>
      </c>
      <c r="BS131" s="9">
        <f t="shared" si="132"/>
        <v>0</v>
      </c>
      <c r="BT131" s="9">
        <f t="shared" si="132"/>
        <v>0</v>
      </c>
      <c r="BU131" s="9">
        <f t="shared" si="132"/>
        <v>0</v>
      </c>
      <c r="BV131" s="9">
        <f t="shared" si="132"/>
        <v>0</v>
      </c>
      <c r="BW131" s="9">
        <f t="shared" si="132"/>
        <v>0</v>
      </c>
      <c r="BX131" s="9">
        <f t="shared" si="132"/>
        <v>0</v>
      </c>
      <c r="BY131" s="9">
        <f t="shared" si="132"/>
        <v>0</v>
      </c>
      <c r="BZ131" s="9">
        <f t="shared" si="132"/>
        <v>0</v>
      </c>
      <c r="CA131" s="9">
        <f t="shared" si="132"/>
        <v>0</v>
      </c>
      <c r="CB131" s="9">
        <f t="shared" si="132"/>
        <v>0</v>
      </c>
      <c r="CC131" s="9">
        <f t="shared" si="132"/>
        <v>0</v>
      </c>
      <c r="CD131" s="9">
        <f t="shared" si="132"/>
        <v>0</v>
      </c>
      <c r="CE131" s="9">
        <f t="shared" si="132"/>
        <v>0</v>
      </c>
      <c r="CF131" s="9">
        <f t="shared" si="132"/>
        <v>0</v>
      </c>
      <c r="CG131" s="9">
        <f t="shared" si="132"/>
        <v>0</v>
      </c>
      <c r="CH131" s="9">
        <f t="shared" si="132"/>
        <v>0</v>
      </c>
      <c r="CI131" s="9">
        <f t="shared" ref="CI131:DB131" si="133">+(CI8=$F$113)*1</f>
        <v>0</v>
      </c>
      <c r="CJ131" s="9">
        <f t="shared" si="133"/>
        <v>0</v>
      </c>
      <c r="CK131" s="9">
        <f t="shared" si="133"/>
        <v>0</v>
      </c>
      <c r="CL131" s="9">
        <f t="shared" si="133"/>
        <v>0</v>
      </c>
      <c r="CM131" s="9">
        <f t="shared" si="133"/>
        <v>0</v>
      </c>
      <c r="CN131" s="9">
        <f t="shared" si="133"/>
        <v>0</v>
      </c>
      <c r="CO131" s="9">
        <f t="shared" si="133"/>
        <v>0</v>
      </c>
      <c r="CP131" s="9">
        <f t="shared" si="133"/>
        <v>0</v>
      </c>
      <c r="CQ131" s="9">
        <f t="shared" si="133"/>
        <v>0</v>
      </c>
      <c r="CR131" s="9">
        <f t="shared" si="133"/>
        <v>0</v>
      </c>
      <c r="CS131" s="9">
        <f t="shared" si="133"/>
        <v>0</v>
      </c>
      <c r="CT131" s="9">
        <f t="shared" si="133"/>
        <v>0</v>
      </c>
      <c r="CU131" s="9">
        <f t="shared" si="133"/>
        <v>0</v>
      </c>
      <c r="CV131" s="9">
        <f t="shared" si="133"/>
        <v>0</v>
      </c>
      <c r="CW131" s="9">
        <f t="shared" si="133"/>
        <v>0</v>
      </c>
      <c r="CX131" s="9">
        <f t="shared" si="133"/>
        <v>0</v>
      </c>
      <c r="CY131" s="9">
        <f t="shared" si="133"/>
        <v>0</v>
      </c>
      <c r="CZ131" s="9">
        <f t="shared" si="133"/>
        <v>0</v>
      </c>
      <c r="DA131" s="9">
        <f t="shared" si="133"/>
        <v>0</v>
      </c>
      <c r="DB131" s="9">
        <f t="shared" si="133"/>
        <v>0</v>
      </c>
      <c r="DC131" s="21" t="s">
        <v>11</v>
      </c>
    </row>
    <row r="132" spans="2:107">
      <c r="B132" s="337" t="s">
        <v>233</v>
      </c>
      <c r="C132" s="338">
        <f>+P21+P26</f>
        <v>-47943.839999999997</v>
      </c>
      <c r="D132" s="338">
        <f t="shared" ref="D132:D133" si="134">+C132/$D$22</f>
        <v>-374.56124999999997</v>
      </c>
      <c r="E132" s="334">
        <f>+-C132/$C$142</f>
        <v>-4.5657624838318381E-2</v>
      </c>
      <c r="F132" s="25"/>
      <c r="I132" s="114" t="s">
        <v>222</v>
      </c>
      <c r="J132" s="314"/>
      <c r="K132" s="314" t="s">
        <v>223</v>
      </c>
      <c r="L132" s="314" t="s">
        <v>224</v>
      </c>
      <c r="M132" s="38"/>
      <c r="N132" s="38"/>
      <c r="O132" s="38"/>
      <c r="P132" s="38"/>
      <c r="T132" s="45" t="str">
        <f>+I115</f>
        <v>Adquisiciòn</v>
      </c>
      <c r="U132" s="339">
        <f t="shared" ref="U132:U141" si="135">+SUM(V132:DB132)</f>
        <v>1</v>
      </c>
      <c r="V132" s="45">
        <f>+(V8=$P$115)*1</f>
        <v>0</v>
      </c>
      <c r="W132" s="45">
        <f t="shared" ref="W132:CH132" si="136">+(W8=$P$115)*1</f>
        <v>0</v>
      </c>
      <c r="X132" s="45">
        <f t="shared" si="136"/>
        <v>1</v>
      </c>
      <c r="Y132" s="45">
        <f t="shared" si="136"/>
        <v>0</v>
      </c>
      <c r="Z132" s="45">
        <f t="shared" si="136"/>
        <v>0</v>
      </c>
      <c r="AA132" s="45">
        <f t="shared" si="136"/>
        <v>0</v>
      </c>
      <c r="AB132" s="45">
        <f t="shared" si="136"/>
        <v>0</v>
      </c>
      <c r="AC132" s="45">
        <f t="shared" si="136"/>
        <v>0</v>
      </c>
      <c r="AD132" s="45">
        <f t="shared" si="136"/>
        <v>0</v>
      </c>
      <c r="AE132" s="45">
        <f t="shared" si="136"/>
        <v>0</v>
      </c>
      <c r="AF132" s="45">
        <f t="shared" si="136"/>
        <v>0</v>
      </c>
      <c r="AG132" s="45">
        <f t="shared" si="136"/>
        <v>0</v>
      </c>
      <c r="AH132" s="45">
        <f t="shared" si="136"/>
        <v>0</v>
      </c>
      <c r="AI132" s="45">
        <f t="shared" si="136"/>
        <v>0</v>
      </c>
      <c r="AJ132" s="45">
        <f t="shared" si="136"/>
        <v>0</v>
      </c>
      <c r="AK132" s="45">
        <f t="shared" si="136"/>
        <v>0</v>
      </c>
      <c r="AL132" s="45">
        <f t="shared" si="136"/>
        <v>0</v>
      </c>
      <c r="AM132" s="45">
        <f t="shared" si="136"/>
        <v>0</v>
      </c>
      <c r="AN132" s="45">
        <f t="shared" si="136"/>
        <v>0</v>
      </c>
      <c r="AO132" s="45">
        <f t="shared" si="136"/>
        <v>0</v>
      </c>
      <c r="AP132" s="45">
        <f t="shared" si="136"/>
        <v>0</v>
      </c>
      <c r="AQ132" s="45">
        <f t="shared" si="136"/>
        <v>0</v>
      </c>
      <c r="AR132" s="45">
        <f t="shared" si="136"/>
        <v>0</v>
      </c>
      <c r="AS132" s="45">
        <f t="shared" si="136"/>
        <v>0</v>
      </c>
      <c r="AT132" s="45">
        <f t="shared" si="136"/>
        <v>0</v>
      </c>
      <c r="AU132" s="45">
        <f t="shared" si="136"/>
        <v>0</v>
      </c>
      <c r="AV132" s="45">
        <f t="shared" si="136"/>
        <v>0</v>
      </c>
      <c r="AW132" s="45">
        <f t="shared" si="136"/>
        <v>0</v>
      </c>
      <c r="AX132" s="45">
        <f t="shared" si="136"/>
        <v>0</v>
      </c>
      <c r="AY132" s="45">
        <f t="shared" si="136"/>
        <v>0</v>
      </c>
      <c r="AZ132" s="45">
        <f t="shared" si="136"/>
        <v>0</v>
      </c>
      <c r="BA132" s="45">
        <f t="shared" si="136"/>
        <v>0</v>
      </c>
      <c r="BB132" s="45">
        <f t="shared" si="136"/>
        <v>0</v>
      </c>
      <c r="BC132" s="45">
        <f t="shared" si="136"/>
        <v>0</v>
      </c>
      <c r="BD132" s="45">
        <f t="shared" si="136"/>
        <v>0</v>
      </c>
      <c r="BE132" s="45">
        <f t="shared" si="136"/>
        <v>0</v>
      </c>
      <c r="BF132" s="45">
        <f t="shared" si="136"/>
        <v>0</v>
      </c>
      <c r="BG132" s="45">
        <f t="shared" si="136"/>
        <v>0</v>
      </c>
      <c r="BH132" s="45">
        <f t="shared" si="136"/>
        <v>0</v>
      </c>
      <c r="BI132" s="45">
        <f t="shared" si="136"/>
        <v>0</v>
      </c>
      <c r="BJ132" s="45">
        <f t="shared" si="136"/>
        <v>0</v>
      </c>
      <c r="BK132" s="45">
        <f t="shared" si="136"/>
        <v>0</v>
      </c>
      <c r="BL132" s="45">
        <f t="shared" si="136"/>
        <v>0</v>
      </c>
      <c r="BM132" s="45">
        <f t="shared" si="136"/>
        <v>0</v>
      </c>
      <c r="BN132" s="45">
        <f t="shared" si="136"/>
        <v>0</v>
      </c>
      <c r="BO132" s="45">
        <f t="shared" si="136"/>
        <v>0</v>
      </c>
      <c r="BP132" s="45">
        <f t="shared" si="136"/>
        <v>0</v>
      </c>
      <c r="BQ132" s="45">
        <f t="shared" si="136"/>
        <v>0</v>
      </c>
      <c r="BR132" s="45">
        <f t="shared" si="136"/>
        <v>0</v>
      </c>
      <c r="BS132" s="45">
        <f t="shared" si="136"/>
        <v>0</v>
      </c>
      <c r="BT132" s="45">
        <f t="shared" si="136"/>
        <v>0</v>
      </c>
      <c r="BU132" s="45">
        <f t="shared" si="136"/>
        <v>0</v>
      </c>
      <c r="BV132" s="45">
        <f t="shared" si="136"/>
        <v>0</v>
      </c>
      <c r="BW132" s="45">
        <f t="shared" si="136"/>
        <v>0</v>
      </c>
      <c r="BX132" s="45">
        <f t="shared" si="136"/>
        <v>0</v>
      </c>
      <c r="BY132" s="45">
        <f t="shared" si="136"/>
        <v>0</v>
      </c>
      <c r="BZ132" s="45">
        <f t="shared" si="136"/>
        <v>0</v>
      </c>
      <c r="CA132" s="45">
        <f t="shared" si="136"/>
        <v>0</v>
      </c>
      <c r="CB132" s="45">
        <f t="shared" si="136"/>
        <v>0</v>
      </c>
      <c r="CC132" s="45">
        <f t="shared" si="136"/>
        <v>0</v>
      </c>
      <c r="CD132" s="45">
        <f t="shared" si="136"/>
        <v>0</v>
      </c>
      <c r="CE132" s="45">
        <f t="shared" si="136"/>
        <v>0</v>
      </c>
      <c r="CF132" s="45">
        <f t="shared" si="136"/>
        <v>0</v>
      </c>
      <c r="CG132" s="45">
        <f t="shared" si="136"/>
        <v>0</v>
      </c>
      <c r="CH132" s="45">
        <f t="shared" si="136"/>
        <v>0</v>
      </c>
      <c r="CI132" s="45">
        <f t="shared" ref="CI132:DB132" si="137">+(CI8=$P$115)*1</f>
        <v>0</v>
      </c>
      <c r="CJ132" s="45">
        <f t="shared" si="137"/>
        <v>0</v>
      </c>
      <c r="CK132" s="45">
        <f t="shared" si="137"/>
        <v>0</v>
      </c>
      <c r="CL132" s="45">
        <f t="shared" si="137"/>
        <v>0</v>
      </c>
      <c r="CM132" s="45">
        <f t="shared" si="137"/>
        <v>0</v>
      </c>
      <c r="CN132" s="45">
        <f t="shared" si="137"/>
        <v>0</v>
      </c>
      <c r="CO132" s="45">
        <f t="shared" si="137"/>
        <v>0</v>
      </c>
      <c r="CP132" s="45">
        <f t="shared" si="137"/>
        <v>0</v>
      </c>
      <c r="CQ132" s="45">
        <f t="shared" si="137"/>
        <v>0</v>
      </c>
      <c r="CR132" s="45">
        <f t="shared" si="137"/>
        <v>0</v>
      </c>
      <c r="CS132" s="45">
        <f t="shared" si="137"/>
        <v>0</v>
      </c>
      <c r="CT132" s="45">
        <f t="shared" si="137"/>
        <v>0</v>
      </c>
      <c r="CU132" s="45">
        <f t="shared" si="137"/>
        <v>0</v>
      </c>
      <c r="CV132" s="45">
        <f t="shared" si="137"/>
        <v>0</v>
      </c>
      <c r="CW132" s="45">
        <f t="shared" si="137"/>
        <v>0</v>
      </c>
      <c r="CX132" s="45">
        <f t="shared" si="137"/>
        <v>0</v>
      </c>
      <c r="CY132" s="45">
        <f t="shared" si="137"/>
        <v>0</v>
      </c>
      <c r="CZ132" s="45">
        <f t="shared" si="137"/>
        <v>0</v>
      </c>
      <c r="DA132" s="45">
        <f t="shared" si="137"/>
        <v>0</v>
      </c>
      <c r="DB132" s="45">
        <f t="shared" si="137"/>
        <v>0</v>
      </c>
      <c r="DC132" s="21" t="s">
        <v>11</v>
      </c>
    </row>
    <row r="133" spans="2:107">
      <c r="B133" s="340" t="s">
        <v>234</v>
      </c>
      <c r="C133" s="341">
        <f>+SUM(C131:C132)</f>
        <v>1148856.1599999999</v>
      </c>
      <c r="D133" s="342">
        <f t="shared" si="134"/>
        <v>8975.4387499999993</v>
      </c>
      <c r="E133" s="343">
        <f>+-C133/$C$142</f>
        <v>1.0940726388722948</v>
      </c>
      <c r="F133" s="25"/>
      <c r="I133" s="321" t="s">
        <v>235</v>
      </c>
      <c r="J133" s="322"/>
      <c r="K133" s="323">
        <f>+-C142-K130-K134</f>
        <v>265073.02</v>
      </c>
      <c r="L133" s="324"/>
      <c r="M133" s="38"/>
      <c r="N133" s="38"/>
      <c r="O133" s="38"/>
      <c r="P133" s="38"/>
      <c r="S133" s="121"/>
      <c r="T133" s="9" t="str">
        <f>+I116</f>
        <v xml:space="preserve">Tasas </v>
      </c>
      <c r="U133" s="48">
        <f t="shared" si="135"/>
        <v>1</v>
      </c>
      <c r="V133" s="9">
        <f t="shared" ref="V133:CG133" si="138">+(V8=$P$116)*1</f>
        <v>0</v>
      </c>
      <c r="W133" s="9">
        <f t="shared" si="138"/>
        <v>0</v>
      </c>
      <c r="X133" s="9">
        <f t="shared" si="138"/>
        <v>1</v>
      </c>
      <c r="Y133" s="9">
        <f t="shared" si="138"/>
        <v>0</v>
      </c>
      <c r="Z133" s="9">
        <f t="shared" si="138"/>
        <v>0</v>
      </c>
      <c r="AA133" s="9">
        <f t="shared" si="138"/>
        <v>0</v>
      </c>
      <c r="AB133" s="9">
        <f t="shared" si="138"/>
        <v>0</v>
      </c>
      <c r="AC133" s="9">
        <f t="shared" si="138"/>
        <v>0</v>
      </c>
      <c r="AD133" s="9">
        <f t="shared" si="138"/>
        <v>0</v>
      </c>
      <c r="AE133" s="9">
        <f t="shared" si="138"/>
        <v>0</v>
      </c>
      <c r="AF133" s="9">
        <f t="shared" si="138"/>
        <v>0</v>
      </c>
      <c r="AG133" s="9">
        <f t="shared" si="138"/>
        <v>0</v>
      </c>
      <c r="AH133" s="9">
        <f t="shared" si="138"/>
        <v>0</v>
      </c>
      <c r="AI133" s="9">
        <f t="shared" si="138"/>
        <v>0</v>
      </c>
      <c r="AJ133" s="9">
        <f t="shared" si="138"/>
        <v>0</v>
      </c>
      <c r="AK133" s="9">
        <f t="shared" si="138"/>
        <v>0</v>
      </c>
      <c r="AL133" s="9">
        <f t="shared" si="138"/>
        <v>0</v>
      </c>
      <c r="AM133" s="9">
        <f t="shared" si="138"/>
        <v>0</v>
      </c>
      <c r="AN133" s="9">
        <f t="shared" si="138"/>
        <v>0</v>
      </c>
      <c r="AO133" s="9">
        <f t="shared" si="138"/>
        <v>0</v>
      </c>
      <c r="AP133" s="9">
        <f t="shared" si="138"/>
        <v>0</v>
      </c>
      <c r="AQ133" s="9">
        <f t="shared" si="138"/>
        <v>0</v>
      </c>
      <c r="AR133" s="9">
        <f t="shared" si="138"/>
        <v>0</v>
      </c>
      <c r="AS133" s="9">
        <f t="shared" si="138"/>
        <v>0</v>
      </c>
      <c r="AT133" s="9">
        <f t="shared" si="138"/>
        <v>0</v>
      </c>
      <c r="AU133" s="9">
        <f t="shared" si="138"/>
        <v>0</v>
      </c>
      <c r="AV133" s="9">
        <f t="shared" si="138"/>
        <v>0</v>
      </c>
      <c r="AW133" s="9">
        <f t="shared" si="138"/>
        <v>0</v>
      </c>
      <c r="AX133" s="9">
        <f t="shared" si="138"/>
        <v>0</v>
      </c>
      <c r="AY133" s="9">
        <f t="shared" si="138"/>
        <v>0</v>
      </c>
      <c r="AZ133" s="9">
        <f t="shared" si="138"/>
        <v>0</v>
      </c>
      <c r="BA133" s="9">
        <f t="shared" si="138"/>
        <v>0</v>
      </c>
      <c r="BB133" s="9">
        <f t="shared" si="138"/>
        <v>0</v>
      </c>
      <c r="BC133" s="9">
        <f t="shared" si="138"/>
        <v>0</v>
      </c>
      <c r="BD133" s="9">
        <f t="shared" si="138"/>
        <v>0</v>
      </c>
      <c r="BE133" s="9">
        <f t="shared" si="138"/>
        <v>0</v>
      </c>
      <c r="BF133" s="9">
        <f t="shared" si="138"/>
        <v>0</v>
      </c>
      <c r="BG133" s="9">
        <f t="shared" si="138"/>
        <v>0</v>
      </c>
      <c r="BH133" s="9">
        <f t="shared" si="138"/>
        <v>0</v>
      </c>
      <c r="BI133" s="9">
        <f t="shared" si="138"/>
        <v>0</v>
      </c>
      <c r="BJ133" s="9">
        <f t="shared" si="138"/>
        <v>0</v>
      </c>
      <c r="BK133" s="9">
        <f t="shared" si="138"/>
        <v>0</v>
      </c>
      <c r="BL133" s="9">
        <f t="shared" si="138"/>
        <v>0</v>
      </c>
      <c r="BM133" s="9">
        <f t="shared" si="138"/>
        <v>0</v>
      </c>
      <c r="BN133" s="9">
        <f t="shared" si="138"/>
        <v>0</v>
      </c>
      <c r="BO133" s="9">
        <f t="shared" si="138"/>
        <v>0</v>
      </c>
      <c r="BP133" s="9">
        <f t="shared" si="138"/>
        <v>0</v>
      </c>
      <c r="BQ133" s="9">
        <f t="shared" si="138"/>
        <v>0</v>
      </c>
      <c r="BR133" s="9">
        <f t="shared" si="138"/>
        <v>0</v>
      </c>
      <c r="BS133" s="9">
        <f t="shared" si="138"/>
        <v>0</v>
      </c>
      <c r="BT133" s="9">
        <f t="shared" si="138"/>
        <v>0</v>
      </c>
      <c r="BU133" s="9">
        <f t="shared" si="138"/>
        <v>0</v>
      </c>
      <c r="BV133" s="9">
        <f t="shared" si="138"/>
        <v>0</v>
      </c>
      <c r="BW133" s="9">
        <f t="shared" si="138"/>
        <v>0</v>
      </c>
      <c r="BX133" s="9">
        <f t="shared" si="138"/>
        <v>0</v>
      </c>
      <c r="BY133" s="9">
        <f t="shared" si="138"/>
        <v>0</v>
      </c>
      <c r="BZ133" s="9">
        <f t="shared" si="138"/>
        <v>0</v>
      </c>
      <c r="CA133" s="9">
        <f t="shared" si="138"/>
        <v>0</v>
      </c>
      <c r="CB133" s="9">
        <f t="shared" si="138"/>
        <v>0</v>
      </c>
      <c r="CC133" s="9">
        <f t="shared" si="138"/>
        <v>0</v>
      </c>
      <c r="CD133" s="9">
        <f t="shared" si="138"/>
        <v>0</v>
      </c>
      <c r="CE133" s="9">
        <f t="shared" si="138"/>
        <v>0</v>
      </c>
      <c r="CF133" s="9">
        <f t="shared" si="138"/>
        <v>0</v>
      </c>
      <c r="CG133" s="9">
        <f t="shared" si="138"/>
        <v>0</v>
      </c>
      <c r="CH133" s="9">
        <f t="shared" ref="CH133:DB133" si="139">+(CH8=$P$116)*1</f>
        <v>0</v>
      </c>
      <c r="CI133" s="9">
        <f t="shared" si="139"/>
        <v>0</v>
      </c>
      <c r="CJ133" s="9">
        <f t="shared" si="139"/>
        <v>0</v>
      </c>
      <c r="CK133" s="9">
        <f t="shared" si="139"/>
        <v>0</v>
      </c>
      <c r="CL133" s="9">
        <f t="shared" si="139"/>
        <v>0</v>
      </c>
      <c r="CM133" s="9">
        <f t="shared" si="139"/>
        <v>0</v>
      </c>
      <c r="CN133" s="9">
        <f t="shared" si="139"/>
        <v>0</v>
      </c>
      <c r="CO133" s="9">
        <f t="shared" si="139"/>
        <v>0</v>
      </c>
      <c r="CP133" s="9">
        <f t="shared" si="139"/>
        <v>0</v>
      </c>
      <c r="CQ133" s="9">
        <f t="shared" si="139"/>
        <v>0</v>
      </c>
      <c r="CR133" s="9">
        <f t="shared" si="139"/>
        <v>0</v>
      </c>
      <c r="CS133" s="9">
        <f t="shared" si="139"/>
        <v>0</v>
      </c>
      <c r="CT133" s="9">
        <f t="shared" si="139"/>
        <v>0</v>
      </c>
      <c r="CU133" s="9">
        <f t="shared" si="139"/>
        <v>0</v>
      </c>
      <c r="CV133" s="9">
        <f t="shared" si="139"/>
        <v>0</v>
      </c>
      <c r="CW133" s="9">
        <f t="shared" si="139"/>
        <v>0</v>
      </c>
      <c r="CX133" s="9">
        <f t="shared" si="139"/>
        <v>0</v>
      </c>
      <c r="CY133" s="9">
        <f t="shared" si="139"/>
        <v>0</v>
      </c>
      <c r="CZ133" s="9">
        <f t="shared" si="139"/>
        <v>0</v>
      </c>
      <c r="DA133" s="9">
        <f t="shared" si="139"/>
        <v>0</v>
      </c>
      <c r="DB133" s="9">
        <f t="shared" si="139"/>
        <v>0</v>
      </c>
      <c r="DC133" s="21" t="s">
        <v>11</v>
      </c>
    </row>
    <row r="134" spans="2:107" ht="14.85" customHeight="1">
      <c r="B134" s="344"/>
      <c r="C134" s="344"/>
      <c r="D134" s="344"/>
      <c r="E134" s="344"/>
      <c r="F134" s="25"/>
      <c r="I134" s="321" t="s">
        <v>236</v>
      </c>
      <c r="J134" s="322"/>
      <c r="K134" s="323">
        <f>+E31-K128</f>
        <v>745750</v>
      </c>
      <c r="L134" s="324"/>
      <c r="M134" s="345"/>
      <c r="N134" s="325"/>
      <c r="O134" s="316"/>
      <c r="P134" s="38"/>
      <c r="S134" s="61"/>
      <c r="T134" s="45" t="s">
        <v>76</v>
      </c>
      <c r="U134" s="339">
        <f t="shared" si="135"/>
        <v>2</v>
      </c>
      <c r="V134" s="45">
        <f t="shared" ref="V134:CG134" si="140">+(V8&gt;=$M$119)*(V8&lt;=$P$119)*1</f>
        <v>0</v>
      </c>
      <c r="W134" s="45">
        <f t="shared" si="140"/>
        <v>0</v>
      </c>
      <c r="X134" s="45">
        <f t="shared" si="140"/>
        <v>0</v>
      </c>
      <c r="Y134" s="45">
        <f t="shared" si="140"/>
        <v>0</v>
      </c>
      <c r="Z134" s="45">
        <f t="shared" si="140"/>
        <v>1</v>
      </c>
      <c r="AA134" s="45">
        <f t="shared" si="140"/>
        <v>1</v>
      </c>
      <c r="AB134" s="45">
        <f t="shared" si="140"/>
        <v>0</v>
      </c>
      <c r="AC134" s="45">
        <f t="shared" si="140"/>
        <v>0</v>
      </c>
      <c r="AD134" s="45">
        <f t="shared" si="140"/>
        <v>0</v>
      </c>
      <c r="AE134" s="45">
        <f t="shared" si="140"/>
        <v>0</v>
      </c>
      <c r="AF134" s="45">
        <f t="shared" si="140"/>
        <v>0</v>
      </c>
      <c r="AG134" s="45">
        <f t="shared" si="140"/>
        <v>0</v>
      </c>
      <c r="AH134" s="45">
        <f t="shared" si="140"/>
        <v>0</v>
      </c>
      <c r="AI134" s="45">
        <f t="shared" si="140"/>
        <v>0</v>
      </c>
      <c r="AJ134" s="45">
        <f t="shared" si="140"/>
        <v>0</v>
      </c>
      <c r="AK134" s="45">
        <f t="shared" si="140"/>
        <v>0</v>
      </c>
      <c r="AL134" s="45">
        <f t="shared" si="140"/>
        <v>0</v>
      </c>
      <c r="AM134" s="45">
        <f t="shared" si="140"/>
        <v>0</v>
      </c>
      <c r="AN134" s="45">
        <f t="shared" si="140"/>
        <v>0</v>
      </c>
      <c r="AO134" s="45">
        <f t="shared" si="140"/>
        <v>0</v>
      </c>
      <c r="AP134" s="45">
        <f t="shared" si="140"/>
        <v>0</v>
      </c>
      <c r="AQ134" s="45">
        <f t="shared" si="140"/>
        <v>0</v>
      </c>
      <c r="AR134" s="45">
        <f t="shared" si="140"/>
        <v>0</v>
      </c>
      <c r="AS134" s="45">
        <f t="shared" si="140"/>
        <v>0</v>
      </c>
      <c r="AT134" s="45">
        <f t="shared" si="140"/>
        <v>0</v>
      </c>
      <c r="AU134" s="45">
        <f t="shared" si="140"/>
        <v>0</v>
      </c>
      <c r="AV134" s="45">
        <f t="shared" si="140"/>
        <v>0</v>
      </c>
      <c r="AW134" s="45">
        <f t="shared" si="140"/>
        <v>0</v>
      </c>
      <c r="AX134" s="45">
        <f t="shared" si="140"/>
        <v>0</v>
      </c>
      <c r="AY134" s="45">
        <f t="shared" si="140"/>
        <v>0</v>
      </c>
      <c r="AZ134" s="45">
        <f t="shared" si="140"/>
        <v>0</v>
      </c>
      <c r="BA134" s="45">
        <f t="shared" si="140"/>
        <v>0</v>
      </c>
      <c r="BB134" s="45">
        <f t="shared" si="140"/>
        <v>0</v>
      </c>
      <c r="BC134" s="45">
        <f t="shared" si="140"/>
        <v>0</v>
      </c>
      <c r="BD134" s="45">
        <f t="shared" si="140"/>
        <v>0</v>
      </c>
      <c r="BE134" s="45">
        <f t="shared" si="140"/>
        <v>0</v>
      </c>
      <c r="BF134" s="45">
        <f t="shared" si="140"/>
        <v>0</v>
      </c>
      <c r="BG134" s="45">
        <f t="shared" si="140"/>
        <v>0</v>
      </c>
      <c r="BH134" s="45">
        <f t="shared" si="140"/>
        <v>0</v>
      </c>
      <c r="BI134" s="45">
        <f t="shared" si="140"/>
        <v>0</v>
      </c>
      <c r="BJ134" s="45">
        <f t="shared" si="140"/>
        <v>0</v>
      </c>
      <c r="BK134" s="45">
        <f t="shared" si="140"/>
        <v>0</v>
      </c>
      <c r="BL134" s="45">
        <f t="shared" si="140"/>
        <v>0</v>
      </c>
      <c r="BM134" s="45">
        <f t="shared" si="140"/>
        <v>0</v>
      </c>
      <c r="BN134" s="45">
        <f t="shared" si="140"/>
        <v>0</v>
      </c>
      <c r="BO134" s="45">
        <f t="shared" si="140"/>
        <v>0</v>
      </c>
      <c r="BP134" s="45">
        <f t="shared" si="140"/>
        <v>0</v>
      </c>
      <c r="BQ134" s="45">
        <f t="shared" si="140"/>
        <v>0</v>
      </c>
      <c r="BR134" s="45">
        <f t="shared" si="140"/>
        <v>0</v>
      </c>
      <c r="BS134" s="45">
        <f t="shared" si="140"/>
        <v>0</v>
      </c>
      <c r="BT134" s="45">
        <f t="shared" si="140"/>
        <v>0</v>
      </c>
      <c r="BU134" s="45">
        <f t="shared" si="140"/>
        <v>0</v>
      </c>
      <c r="BV134" s="45">
        <f t="shared" si="140"/>
        <v>0</v>
      </c>
      <c r="BW134" s="45">
        <f t="shared" si="140"/>
        <v>0</v>
      </c>
      <c r="BX134" s="45">
        <f t="shared" si="140"/>
        <v>0</v>
      </c>
      <c r="BY134" s="45">
        <f t="shared" si="140"/>
        <v>0</v>
      </c>
      <c r="BZ134" s="45">
        <f t="shared" si="140"/>
        <v>0</v>
      </c>
      <c r="CA134" s="45">
        <f t="shared" si="140"/>
        <v>0</v>
      </c>
      <c r="CB134" s="45">
        <f t="shared" si="140"/>
        <v>0</v>
      </c>
      <c r="CC134" s="45">
        <f t="shared" si="140"/>
        <v>0</v>
      </c>
      <c r="CD134" s="45">
        <f t="shared" si="140"/>
        <v>0</v>
      </c>
      <c r="CE134" s="45">
        <f t="shared" si="140"/>
        <v>0</v>
      </c>
      <c r="CF134" s="45">
        <f t="shared" si="140"/>
        <v>0</v>
      </c>
      <c r="CG134" s="45">
        <f t="shared" si="140"/>
        <v>0</v>
      </c>
      <c r="CH134" s="45">
        <f t="shared" ref="CH134:DB134" si="141">+(CH8&gt;=$M$119)*(CH8&lt;=$P$119)*1</f>
        <v>0</v>
      </c>
      <c r="CI134" s="45">
        <f t="shared" si="141"/>
        <v>0</v>
      </c>
      <c r="CJ134" s="45">
        <f t="shared" si="141"/>
        <v>0</v>
      </c>
      <c r="CK134" s="45">
        <f t="shared" si="141"/>
        <v>0</v>
      </c>
      <c r="CL134" s="45">
        <f t="shared" si="141"/>
        <v>0</v>
      </c>
      <c r="CM134" s="45">
        <f t="shared" si="141"/>
        <v>0</v>
      </c>
      <c r="CN134" s="45">
        <f t="shared" si="141"/>
        <v>0</v>
      </c>
      <c r="CO134" s="45">
        <f t="shared" si="141"/>
        <v>0</v>
      </c>
      <c r="CP134" s="45">
        <f t="shared" si="141"/>
        <v>0</v>
      </c>
      <c r="CQ134" s="45">
        <f t="shared" si="141"/>
        <v>0</v>
      </c>
      <c r="CR134" s="45">
        <f t="shared" si="141"/>
        <v>0</v>
      </c>
      <c r="CS134" s="45">
        <f t="shared" si="141"/>
        <v>0</v>
      </c>
      <c r="CT134" s="45">
        <f t="shared" si="141"/>
        <v>0</v>
      </c>
      <c r="CU134" s="45">
        <f t="shared" si="141"/>
        <v>0</v>
      </c>
      <c r="CV134" s="45">
        <f t="shared" si="141"/>
        <v>0</v>
      </c>
      <c r="CW134" s="45">
        <f t="shared" si="141"/>
        <v>0</v>
      </c>
      <c r="CX134" s="45">
        <f t="shared" si="141"/>
        <v>0</v>
      </c>
      <c r="CY134" s="45">
        <f t="shared" si="141"/>
        <v>0</v>
      </c>
      <c r="CZ134" s="45">
        <f t="shared" si="141"/>
        <v>0</v>
      </c>
      <c r="DA134" s="45">
        <f t="shared" si="141"/>
        <v>0</v>
      </c>
      <c r="DB134" s="45">
        <f t="shared" si="141"/>
        <v>0</v>
      </c>
      <c r="DC134" s="21" t="s">
        <v>11</v>
      </c>
    </row>
    <row r="135" spans="2:107">
      <c r="B135" s="326" t="s">
        <v>237</v>
      </c>
      <c r="C135" s="327" t="s">
        <v>238</v>
      </c>
      <c r="D135" s="327" t="s">
        <v>52</v>
      </c>
      <c r="E135" s="327" t="s">
        <v>50</v>
      </c>
      <c r="I135" s="328" t="s">
        <v>239</v>
      </c>
      <c r="J135" s="329"/>
      <c r="K135" s="330">
        <f>+SUM(K133:K134)-73</f>
        <v>1010750.02</v>
      </c>
      <c r="L135" s="331">
        <v>45966</v>
      </c>
      <c r="M135" s="38"/>
      <c r="N135" s="38"/>
      <c r="O135" s="38"/>
      <c r="P135" s="38"/>
      <c r="S135" s="121"/>
      <c r="T135" s="9" t="s">
        <v>240</v>
      </c>
      <c r="U135" s="48">
        <f t="shared" si="135"/>
        <v>1</v>
      </c>
      <c r="V135" s="9">
        <f t="shared" ref="V135:CG135" si="142">+(V8=$E$125)*1</f>
        <v>0</v>
      </c>
      <c r="W135" s="9">
        <f t="shared" si="142"/>
        <v>0</v>
      </c>
      <c r="X135" s="9">
        <f t="shared" si="142"/>
        <v>1</v>
      </c>
      <c r="Y135" s="9">
        <f t="shared" si="142"/>
        <v>0</v>
      </c>
      <c r="Z135" s="9">
        <f t="shared" si="142"/>
        <v>0</v>
      </c>
      <c r="AA135" s="9">
        <f t="shared" si="142"/>
        <v>0</v>
      </c>
      <c r="AB135" s="9">
        <f t="shared" si="142"/>
        <v>0</v>
      </c>
      <c r="AC135" s="9">
        <f t="shared" si="142"/>
        <v>0</v>
      </c>
      <c r="AD135" s="9">
        <f t="shared" si="142"/>
        <v>0</v>
      </c>
      <c r="AE135" s="9">
        <f t="shared" si="142"/>
        <v>0</v>
      </c>
      <c r="AF135" s="9">
        <f t="shared" si="142"/>
        <v>0</v>
      </c>
      <c r="AG135" s="9">
        <f t="shared" si="142"/>
        <v>0</v>
      </c>
      <c r="AH135" s="9">
        <f t="shared" si="142"/>
        <v>0</v>
      </c>
      <c r="AI135" s="9">
        <f t="shared" si="142"/>
        <v>0</v>
      </c>
      <c r="AJ135" s="9">
        <f t="shared" si="142"/>
        <v>0</v>
      </c>
      <c r="AK135" s="9">
        <f t="shared" si="142"/>
        <v>0</v>
      </c>
      <c r="AL135" s="9">
        <f t="shared" si="142"/>
        <v>0</v>
      </c>
      <c r="AM135" s="9">
        <f t="shared" si="142"/>
        <v>0</v>
      </c>
      <c r="AN135" s="9">
        <f t="shared" si="142"/>
        <v>0</v>
      </c>
      <c r="AO135" s="9">
        <f t="shared" si="142"/>
        <v>0</v>
      </c>
      <c r="AP135" s="9">
        <f t="shared" si="142"/>
        <v>0</v>
      </c>
      <c r="AQ135" s="9">
        <f t="shared" si="142"/>
        <v>0</v>
      </c>
      <c r="AR135" s="9">
        <f t="shared" si="142"/>
        <v>0</v>
      </c>
      <c r="AS135" s="9">
        <f t="shared" si="142"/>
        <v>0</v>
      </c>
      <c r="AT135" s="9">
        <f t="shared" si="142"/>
        <v>0</v>
      </c>
      <c r="AU135" s="9">
        <f t="shared" si="142"/>
        <v>0</v>
      </c>
      <c r="AV135" s="9">
        <f t="shared" si="142"/>
        <v>0</v>
      </c>
      <c r="AW135" s="9">
        <f t="shared" si="142"/>
        <v>0</v>
      </c>
      <c r="AX135" s="9">
        <f t="shared" si="142"/>
        <v>0</v>
      </c>
      <c r="AY135" s="9">
        <f t="shared" si="142"/>
        <v>0</v>
      </c>
      <c r="AZ135" s="9">
        <f t="shared" si="142"/>
        <v>0</v>
      </c>
      <c r="BA135" s="9">
        <f t="shared" si="142"/>
        <v>0</v>
      </c>
      <c r="BB135" s="9">
        <f t="shared" si="142"/>
        <v>0</v>
      </c>
      <c r="BC135" s="9">
        <f t="shared" si="142"/>
        <v>0</v>
      </c>
      <c r="BD135" s="9">
        <f t="shared" si="142"/>
        <v>0</v>
      </c>
      <c r="BE135" s="9">
        <f t="shared" si="142"/>
        <v>0</v>
      </c>
      <c r="BF135" s="9">
        <f t="shared" si="142"/>
        <v>0</v>
      </c>
      <c r="BG135" s="9">
        <f t="shared" si="142"/>
        <v>0</v>
      </c>
      <c r="BH135" s="9">
        <f t="shared" si="142"/>
        <v>0</v>
      </c>
      <c r="BI135" s="9">
        <f t="shared" si="142"/>
        <v>0</v>
      </c>
      <c r="BJ135" s="9">
        <f t="shared" si="142"/>
        <v>0</v>
      </c>
      <c r="BK135" s="9">
        <f t="shared" si="142"/>
        <v>0</v>
      </c>
      <c r="BL135" s="9">
        <f t="shared" si="142"/>
        <v>0</v>
      </c>
      <c r="BM135" s="9">
        <f t="shared" si="142"/>
        <v>0</v>
      </c>
      <c r="BN135" s="9">
        <f t="shared" si="142"/>
        <v>0</v>
      </c>
      <c r="BO135" s="9">
        <f t="shared" si="142"/>
        <v>0</v>
      </c>
      <c r="BP135" s="9">
        <f t="shared" si="142"/>
        <v>0</v>
      </c>
      <c r="BQ135" s="9">
        <f t="shared" si="142"/>
        <v>0</v>
      </c>
      <c r="BR135" s="9">
        <f t="shared" si="142"/>
        <v>0</v>
      </c>
      <c r="BS135" s="9">
        <f t="shared" si="142"/>
        <v>0</v>
      </c>
      <c r="BT135" s="9">
        <f t="shared" si="142"/>
        <v>0</v>
      </c>
      <c r="BU135" s="9">
        <f t="shared" si="142"/>
        <v>0</v>
      </c>
      <c r="BV135" s="9">
        <f t="shared" si="142"/>
        <v>0</v>
      </c>
      <c r="BW135" s="9">
        <f t="shared" si="142"/>
        <v>0</v>
      </c>
      <c r="BX135" s="9">
        <f t="shared" si="142"/>
        <v>0</v>
      </c>
      <c r="BY135" s="9">
        <f t="shared" si="142"/>
        <v>0</v>
      </c>
      <c r="BZ135" s="9">
        <f t="shared" si="142"/>
        <v>0</v>
      </c>
      <c r="CA135" s="9">
        <f t="shared" si="142"/>
        <v>0</v>
      </c>
      <c r="CB135" s="9">
        <f t="shared" si="142"/>
        <v>0</v>
      </c>
      <c r="CC135" s="9">
        <f t="shared" si="142"/>
        <v>0</v>
      </c>
      <c r="CD135" s="9">
        <f t="shared" si="142"/>
        <v>0</v>
      </c>
      <c r="CE135" s="9">
        <f t="shared" si="142"/>
        <v>0</v>
      </c>
      <c r="CF135" s="9">
        <f t="shared" si="142"/>
        <v>0</v>
      </c>
      <c r="CG135" s="9">
        <f t="shared" si="142"/>
        <v>0</v>
      </c>
      <c r="CH135" s="9">
        <f t="shared" ref="CH135:DB135" si="143">+(CH8=$E$125)*1</f>
        <v>0</v>
      </c>
      <c r="CI135" s="9">
        <f t="shared" si="143"/>
        <v>0</v>
      </c>
      <c r="CJ135" s="9">
        <f t="shared" si="143"/>
        <v>0</v>
      </c>
      <c r="CK135" s="9">
        <f t="shared" si="143"/>
        <v>0</v>
      </c>
      <c r="CL135" s="9">
        <f t="shared" si="143"/>
        <v>0</v>
      </c>
      <c r="CM135" s="9">
        <f t="shared" si="143"/>
        <v>0</v>
      </c>
      <c r="CN135" s="9">
        <f t="shared" si="143"/>
        <v>0</v>
      </c>
      <c r="CO135" s="9">
        <f t="shared" si="143"/>
        <v>0</v>
      </c>
      <c r="CP135" s="9">
        <f t="shared" si="143"/>
        <v>0</v>
      </c>
      <c r="CQ135" s="9">
        <f t="shared" si="143"/>
        <v>0</v>
      </c>
      <c r="CR135" s="9">
        <f t="shared" si="143"/>
        <v>0</v>
      </c>
      <c r="CS135" s="9">
        <f t="shared" si="143"/>
        <v>0</v>
      </c>
      <c r="CT135" s="9">
        <f t="shared" si="143"/>
        <v>0</v>
      </c>
      <c r="CU135" s="9">
        <f t="shared" si="143"/>
        <v>0</v>
      </c>
      <c r="CV135" s="9">
        <f t="shared" si="143"/>
        <v>0</v>
      </c>
      <c r="CW135" s="9">
        <f t="shared" si="143"/>
        <v>0</v>
      </c>
      <c r="CX135" s="9">
        <f t="shared" si="143"/>
        <v>0</v>
      </c>
      <c r="CY135" s="9">
        <f t="shared" si="143"/>
        <v>0</v>
      </c>
      <c r="CZ135" s="9">
        <f t="shared" si="143"/>
        <v>0</v>
      </c>
      <c r="DA135" s="9">
        <f t="shared" si="143"/>
        <v>0</v>
      </c>
      <c r="DB135" s="9">
        <f t="shared" si="143"/>
        <v>0</v>
      </c>
      <c r="DC135" s="21" t="s">
        <v>11</v>
      </c>
    </row>
    <row r="136" spans="2:107">
      <c r="B136" s="332" t="s">
        <v>241</v>
      </c>
      <c r="C136" s="346">
        <f>+-E73</f>
        <v>-785000</v>
      </c>
      <c r="D136" s="338">
        <f>+C136/$D$22</f>
        <v>-6132.8125</v>
      </c>
      <c r="E136" s="334">
        <f>-+C136/$C$142</f>
        <v>-0.74756705966981229</v>
      </c>
      <c r="F136" s="347"/>
      <c r="I136" s="38"/>
      <c r="J136" s="38"/>
      <c r="K136" s="38"/>
      <c r="L136" s="38"/>
      <c r="M136" s="336"/>
      <c r="N136" s="38"/>
      <c r="O136" s="38"/>
      <c r="P136" s="38"/>
      <c r="S136" s="311"/>
      <c r="T136" s="9" t="s">
        <v>242</v>
      </c>
      <c r="U136" s="48">
        <f t="shared" si="135"/>
        <v>2</v>
      </c>
      <c r="V136" s="9">
        <f t="shared" ref="V136:CG136" si="144">+(V8&gt;$E$125)*(V8&lt;=$E$126)*1</f>
        <v>0</v>
      </c>
      <c r="W136" s="9">
        <f t="shared" si="144"/>
        <v>0</v>
      </c>
      <c r="X136" s="9">
        <f t="shared" si="144"/>
        <v>0</v>
      </c>
      <c r="Y136" s="9">
        <f t="shared" si="144"/>
        <v>1</v>
      </c>
      <c r="Z136" s="9">
        <f t="shared" si="144"/>
        <v>1</v>
      </c>
      <c r="AA136" s="9">
        <f t="shared" si="144"/>
        <v>0</v>
      </c>
      <c r="AB136" s="9">
        <f t="shared" si="144"/>
        <v>0</v>
      </c>
      <c r="AC136" s="9">
        <f t="shared" si="144"/>
        <v>0</v>
      </c>
      <c r="AD136" s="9">
        <f t="shared" si="144"/>
        <v>0</v>
      </c>
      <c r="AE136" s="9">
        <f t="shared" si="144"/>
        <v>0</v>
      </c>
      <c r="AF136" s="9">
        <f t="shared" si="144"/>
        <v>0</v>
      </c>
      <c r="AG136" s="9">
        <f t="shared" si="144"/>
        <v>0</v>
      </c>
      <c r="AH136" s="9">
        <f t="shared" si="144"/>
        <v>0</v>
      </c>
      <c r="AI136" s="9">
        <f t="shared" si="144"/>
        <v>0</v>
      </c>
      <c r="AJ136" s="9">
        <f t="shared" si="144"/>
        <v>0</v>
      </c>
      <c r="AK136" s="9">
        <f t="shared" si="144"/>
        <v>0</v>
      </c>
      <c r="AL136" s="9">
        <f t="shared" si="144"/>
        <v>0</v>
      </c>
      <c r="AM136" s="9">
        <f t="shared" si="144"/>
        <v>0</v>
      </c>
      <c r="AN136" s="9">
        <f t="shared" si="144"/>
        <v>0</v>
      </c>
      <c r="AO136" s="9">
        <f t="shared" si="144"/>
        <v>0</v>
      </c>
      <c r="AP136" s="9">
        <f t="shared" si="144"/>
        <v>0</v>
      </c>
      <c r="AQ136" s="9">
        <f t="shared" si="144"/>
        <v>0</v>
      </c>
      <c r="AR136" s="9">
        <f t="shared" si="144"/>
        <v>0</v>
      </c>
      <c r="AS136" s="9">
        <f t="shared" si="144"/>
        <v>0</v>
      </c>
      <c r="AT136" s="9">
        <f t="shared" si="144"/>
        <v>0</v>
      </c>
      <c r="AU136" s="9">
        <f t="shared" si="144"/>
        <v>0</v>
      </c>
      <c r="AV136" s="9">
        <f t="shared" si="144"/>
        <v>0</v>
      </c>
      <c r="AW136" s="9">
        <f t="shared" si="144"/>
        <v>0</v>
      </c>
      <c r="AX136" s="9">
        <f t="shared" si="144"/>
        <v>0</v>
      </c>
      <c r="AY136" s="9">
        <f t="shared" si="144"/>
        <v>0</v>
      </c>
      <c r="AZ136" s="9">
        <f t="shared" si="144"/>
        <v>0</v>
      </c>
      <c r="BA136" s="9">
        <f t="shared" si="144"/>
        <v>0</v>
      </c>
      <c r="BB136" s="9">
        <f t="shared" si="144"/>
        <v>0</v>
      </c>
      <c r="BC136" s="9">
        <f t="shared" si="144"/>
        <v>0</v>
      </c>
      <c r="BD136" s="9">
        <f t="shared" si="144"/>
        <v>0</v>
      </c>
      <c r="BE136" s="9">
        <f t="shared" si="144"/>
        <v>0</v>
      </c>
      <c r="BF136" s="9">
        <f t="shared" si="144"/>
        <v>0</v>
      </c>
      <c r="BG136" s="9">
        <f t="shared" si="144"/>
        <v>0</v>
      </c>
      <c r="BH136" s="9">
        <f t="shared" si="144"/>
        <v>0</v>
      </c>
      <c r="BI136" s="9">
        <f t="shared" si="144"/>
        <v>0</v>
      </c>
      <c r="BJ136" s="9">
        <f t="shared" si="144"/>
        <v>0</v>
      </c>
      <c r="BK136" s="9">
        <f t="shared" si="144"/>
        <v>0</v>
      </c>
      <c r="BL136" s="9">
        <f t="shared" si="144"/>
        <v>0</v>
      </c>
      <c r="BM136" s="9">
        <f t="shared" si="144"/>
        <v>0</v>
      </c>
      <c r="BN136" s="9">
        <f t="shared" si="144"/>
        <v>0</v>
      </c>
      <c r="BO136" s="9">
        <f t="shared" si="144"/>
        <v>0</v>
      </c>
      <c r="BP136" s="9">
        <f t="shared" si="144"/>
        <v>0</v>
      </c>
      <c r="BQ136" s="9">
        <f t="shared" si="144"/>
        <v>0</v>
      </c>
      <c r="BR136" s="9">
        <f t="shared" si="144"/>
        <v>0</v>
      </c>
      <c r="BS136" s="9">
        <f t="shared" si="144"/>
        <v>0</v>
      </c>
      <c r="BT136" s="9">
        <f t="shared" si="144"/>
        <v>0</v>
      </c>
      <c r="BU136" s="9">
        <f t="shared" si="144"/>
        <v>0</v>
      </c>
      <c r="BV136" s="9">
        <f t="shared" si="144"/>
        <v>0</v>
      </c>
      <c r="BW136" s="9">
        <f t="shared" si="144"/>
        <v>0</v>
      </c>
      <c r="BX136" s="9">
        <f t="shared" si="144"/>
        <v>0</v>
      </c>
      <c r="BY136" s="9">
        <f t="shared" si="144"/>
        <v>0</v>
      </c>
      <c r="BZ136" s="9">
        <f t="shared" si="144"/>
        <v>0</v>
      </c>
      <c r="CA136" s="9">
        <f t="shared" si="144"/>
        <v>0</v>
      </c>
      <c r="CB136" s="9">
        <f t="shared" si="144"/>
        <v>0</v>
      </c>
      <c r="CC136" s="9">
        <f t="shared" si="144"/>
        <v>0</v>
      </c>
      <c r="CD136" s="9">
        <f t="shared" si="144"/>
        <v>0</v>
      </c>
      <c r="CE136" s="9">
        <f t="shared" si="144"/>
        <v>0</v>
      </c>
      <c r="CF136" s="9">
        <f t="shared" si="144"/>
        <v>0</v>
      </c>
      <c r="CG136" s="9">
        <f t="shared" si="144"/>
        <v>0</v>
      </c>
      <c r="CH136" s="9">
        <f t="shared" ref="CH136:DB136" si="145">+(CH8&gt;$E$125)*(CH8&lt;=$E$126)*1</f>
        <v>0</v>
      </c>
      <c r="CI136" s="9">
        <f t="shared" si="145"/>
        <v>0</v>
      </c>
      <c r="CJ136" s="9">
        <f t="shared" si="145"/>
        <v>0</v>
      </c>
      <c r="CK136" s="9">
        <f t="shared" si="145"/>
        <v>0</v>
      </c>
      <c r="CL136" s="9">
        <f t="shared" si="145"/>
        <v>0</v>
      </c>
      <c r="CM136" s="9">
        <f t="shared" si="145"/>
        <v>0</v>
      </c>
      <c r="CN136" s="9">
        <f t="shared" si="145"/>
        <v>0</v>
      </c>
      <c r="CO136" s="9">
        <f t="shared" si="145"/>
        <v>0</v>
      </c>
      <c r="CP136" s="9">
        <f t="shared" si="145"/>
        <v>0</v>
      </c>
      <c r="CQ136" s="9">
        <f t="shared" si="145"/>
        <v>0</v>
      </c>
      <c r="CR136" s="9">
        <f t="shared" si="145"/>
        <v>0</v>
      </c>
      <c r="CS136" s="9">
        <f t="shared" si="145"/>
        <v>0</v>
      </c>
      <c r="CT136" s="9">
        <f t="shared" si="145"/>
        <v>0</v>
      </c>
      <c r="CU136" s="9">
        <f t="shared" si="145"/>
        <v>0</v>
      </c>
      <c r="CV136" s="9">
        <f t="shared" si="145"/>
        <v>0</v>
      </c>
      <c r="CW136" s="9">
        <f t="shared" si="145"/>
        <v>0</v>
      </c>
      <c r="CX136" s="9">
        <f t="shared" si="145"/>
        <v>0</v>
      </c>
      <c r="CY136" s="9">
        <f t="shared" si="145"/>
        <v>0</v>
      </c>
      <c r="CZ136" s="9">
        <f t="shared" si="145"/>
        <v>0</v>
      </c>
      <c r="DA136" s="9">
        <f t="shared" si="145"/>
        <v>0</v>
      </c>
      <c r="DB136" s="9">
        <f t="shared" si="145"/>
        <v>0</v>
      </c>
      <c r="DC136" s="21" t="s">
        <v>11</v>
      </c>
    </row>
    <row r="137" spans="2:107">
      <c r="B137" s="332" t="s">
        <v>128</v>
      </c>
      <c r="C137" s="338">
        <f>+-E76</f>
        <v>-180377.02</v>
      </c>
      <c r="D137" s="338">
        <f t="shared" ref="D137:D143" si="146">+C137/$D$22</f>
        <v>-1409.1954687499999</v>
      </c>
      <c r="E137" s="334">
        <f t="shared" ref="E137:E142" si="147">-+C137/$C$142</f>
        <v>-0.17177569232280626</v>
      </c>
      <c r="F137" s="347"/>
      <c r="I137" s="348" t="s">
        <v>243</v>
      </c>
      <c r="J137" s="348"/>
      <c r="K137" s="349">
        <f>+K135+K130-0.02</f>
        <v>1050000</v>
      </c>
      <c r="L137" s="348"/>
      <c r="M137" s="38"/>
      <c r="N137" s="38"/>
      <c r="O137" s="38"/>
      <c r="P137" s="38"/>
      <c r="T137" s="45" t="s">
        <v>244</v>
      </c>
      <c r="U137" s="339">
        <f t="shared" si="135"/>
        <v>1</v>
      </c>
      <c r="V137" s="45">
        <f t="shared" ref="V137:CG137" si="148">+(V8=$E$127)*1</f>
        <v>0</v>
      </c>
      <c r="W137" s="45">
        <f t="shared" si="148"/>
        <v>0</v>
      </c>
      <c r="X137" s="45">
        <f t="shared" si="148"/>
        <v>0</v>
      </c>
      <c r="Y137" s="45">
        <f t="shared" si="148"/>
        <v>0</v>
      </c>
      <c r="Z137" s="45">
        <f t="shared" si="148"/>
        <v>0</v>
      </c>
      <c r="AA137" s="45">
        <f t="shared" si="148"/>
        <v>1</v>
      </c>
      <c r="AB137" s="45">
        <f t="shared" si="148"/>
        <v>0</v>
      </c>
      <c r="AC137" s="45">
        <f t="shared" si="148"/>
        <v>0</v>
      </c>
      <c r="AD137" s="45">
        <f t="shared" si="148"/>
        <v>0</v>
      </c>
      <c r="AE137" s="45">
        <f t="shared" si="148"/>
        <v>0</v>
      </c>
      <c r="AF137" s="45">
        <f t="shared" si="148"/>
        <v>0</v>
      </c>
      <c r="AG137" s="45">
        <f t="shared" si="148"/>
        <v>0</v>
      </c>
      <c r="AH137" s="45">
        <f t="shared" si="148"/>
        <v>0</v>
      </c>
      <c r="AI137" s="45">
        <f t="shared" si="148"/>
        <v>0</v>
      </c>
      <c r="AJ137" s="45">
        <f t="shared" si="148"/>
        <v>0</v>
      </c>
      <c r="AK137" s="45">
        <f t="shared" si="148"/>
        <v>0</v>
      </c>
      <c r="AL137" s="45">
        <f t="shared" si="148"/>
        <v>0</v>
      </c>
      <c r="AM137" s="45">
        <f t="shared" si="148"/>
        <v>0</v>
      </c>
      <c r="AN137" s="45">
        <f t="shared" si="148"/>
        <v>0</v>
      </c>
      <c r="AO137" s="45">
        <f t="shared" si="148"/>
        <v>0</v>
      </c>
      <c r="AP137" s="45">
        <f t="shared" si="148"/>
        <v>0</v>
      </c>
      <c r="AQ137" s="45">
        <f t="shared" si="148"/>
        <v>0</v>
      </c>
      <c r="AR137" s="45">
        <f t="shared" si="148"/>
        <v>0</v>
      </c>
      <c r="AS137" s="45">
        <f t="shared" si="148"/>
        <v>0</v>
      </c>
      <c r="AT137" s="45">
        <f t="shared" si="148"/>
        <v>0</v>
      </c>
      <c r="AU137" s="45">
        <f t="shared" si="148"/>
        <v>0</v>
      </c>
      <c r="AV137" s="45">
        <f t="shared" si="148"/>
        <v>0</v>
      </c>
      <c r="AW137" s="45">
        <f t="shared" si="148"/>
        <v>0</v>
      </c>
      <c r="AX137" s="45">
        <f t="shared" si="148"/>
        <v>0</v>
      </c>
      <c r="AY137" s="45">
        <f t="shared" si="148"/>
        <v>0</v>
      </c>
      <c r="AZ137" s="45">
        <f t="shared" si="148"/>
        <v>0</v>
      </c>
      <c r="BA137" s="45">
        <f t="shared" si="148"/>
        <v>0</v>
      </c>
      <c r="BB137" s="45">
        <f t="shared" si="148"/>
        <v>0</v>
      </c>
      <c r="BC137" s="45">
        <f t="shared" si="148"/>
        <v>0</v>
      </c>
      <c r="BD137" s="45">
        <f t="shared" si="148"/>
        <v>0</v>
      </c>
      <c r="BE137" s="45">
        <f t="shared" si="148"/>
        <v>0</v>
      </c>
      <c r="BF137" s="45">
        <f t="shared" si="148"/>
        <v>0</v>
      </c>
      <c r="BG137" s="45">
        <f t="shared" si="148"/>
        <v>0</v>
      </c>
      <c r="BH137" s="45">
        <f t="shared" si="148"/>
        <v>0</v>
      </c>
      <c r="BI137" s="45">
        <f t="shared" si="148"/>
        <v>0</v>
      </c>
      <c r="BJ137" s="45">
        <f t="shared" si="148"/>
        <v>0</v>
      </c>
      <c r="BK137" s="45">
        <f t="shared" si="148"/>
        <v>0</v>
      </c>
      <c r="BL137" s="45">
        <f t="shared" si="148"/>
        <v>0</v>
      </c>
      <c r="BM137" s="45">
        <f t="shared" si="148"/>
        <v>0</v>
      </c>
      <c r="BN137" s="45">
        <f t="shared" si="148"/>
        <v>0</v>
      </c>
      <c r="BO137" s="45">
        <f t="shared" si="148"/>
        <v>0</v>
      </c>
      <c r="BP137" s="45">
        <f t="shared" si="148"/>
        <v>0</v>
      </c>
      <c r="BQ137" s="45">
        <f t="shared" si="148"/>
        <v>0</v>
      </c>
      <c r="BR137" s="45">
        <f t="shared" si="148"/>
        <v>0</v>
      </c>
      <c r="BS137" s="45">
        <f t="shared" si="148"/>
        <v>0</v>
      </c>
      <c r="BT137" s="45">
        <f t="shared" si="148"/>
        <v>0</v>
      </c>
      <c r="BU137" s="45">
        <f t="shared" si="148"/>
        <v>0</v>
      </c>
      <c r="BV137" s="45">
        <f t="shared" si="148"/>
        <v>0</v>
      </c>
      <c r="BW137" s="45">
        <f t="shared" si="148"/>
        <v>0</v>
      </c>
      <c r="BX137" s="45">
        <f t="shared" si="148"/>
        <v>0</v>
      </c>
      <c r="BY137" s="45">
        <f t="shared" si="148"/>
        <v>0</v>
      </c>
      <c r="BZ137" s="45">
        <f t="shared" si="148"/>
        <v>0</v>
      </c>
      <c r="CA137" s="45">
        <f t="shared" si="148"/>
        <v>0</v>
      </c>
      <c r="CB137" s="45">
        <f t="shared" si="148"/>
        <v>0</v>
      </c>
      <c r="CC137" s="45">
        <f t="shared" si="148"/>
        <v>0</v>
      </c>
      <c r="CD137" s="45">
        <f t="shared" si="148"/>
        <v>0</v>
      </c>
      <c r="CE137" s="45">
        <f t="shared" si="148"/>
        <v>0</v>
      </c>
      <c r="CF137" s="45">
        <f t="shared" si="148"/>
        <v>0</v>
      </c>
      <c r="CG137" s="45">
        <f t="shared" si="148"/>
        <v>0</v>
      </c>
      <c r="CH137" s="45">
        <f t="shared" ref="CH137:DB137" si="149">+(CH8=$E$127)*1</f>
        <v>0</v>
      </c>
      <c r="CI137" s="45">
        <f t="shared" si="149"/>
        <v>0</v>
      </c>
      <c r="CJ137" s="45">
        <f t="shared" si="149"/>
        <v>0</v>
      </c>
      <c r="CK137" s="45">
        <f t="shared" si="149"/>
        <v>0</v>
      </c>
      <c r="CL137" s="45">
        <f t="shared" si="149"/>
        <v>0</v>
      </c>
      <c r="CM137" s="45">
        <f t="shared" si="149"/>
        <v>0</v>
      </c>
      <c r="CN137" s="45">
        <f t="shared" si="149"/>
        <v>0</v>
      </c>
      <c r="CO137" s="45">
        <f t="shared" si="149"/>
        <v>0</v>
      </c>
      <c r="CP137" s="45">
        <f t="shared" si="149"/>
        <v>0</v>
      </c>
      <c r="CQ137" s="45">
        <f t="shared" si="149"/>
        <v>0</v>
      </c>
      <c r="CR137" s="45">
        <f t="shared" si="149"/>
        <v>0</v>
      </c>
      <c r="CS137" s="45">
        <f t="shared" si="149"/>
        <v>0</v>
      </c>
      <c r="CT137" s="45">
        <f t="shared" si="149"/>
        <v>0</v>
      </c>
      <c r="CU137" s="45">
        <f t="shared" si="149"/>
        <v>0</v>
      </c>
      <c r="CV137" s="45">
        <f t="shared" si="149"/>
        <v>0</v>
      </c>
      <c r="CW137" s="45">
        <f t="shared" si="149"/>
        <v>0</v>
      </c>
      <c r="CX137" s="45">
        <f t="shared" si="149"/>
        <v>0</v>
      </c>
      <c r="CY137" s="45">
        <f t="shared" si="149"/>
        <v>0</v>
      </c>
      <c r="CZ137" s="45">
        <f t="shared" si="149"/>
        <v>0</v>
      </c>
      <c r="DA137" s="45">
        <f t="shared" si="149"/>
        <v>0</v>
      </c>
      <c r="DB137" s="45">
        <f t="shared" si="149"/>
        <v>0</v>
      </c>
      <c r="DC137" s="21" t="s">
        <v>11</v>
      </c>
    </row>
    <row r="138" spans="2:107">
      <c r="B138" s="332" t="s">
        <v>245</v>
      </c>
      <c r="C138" s="346">
        <f>+-E74</f>
        <v>-77046</v>
      </c>
      <c r="D138" s="338">
        <f t="shared" si="146"/>
        <v>-601.921875</v>
      </c>
      <c r="E138" s="334">
        <f t="shared" si="147"/>
        <v>-7.3372040355822107E-2</v>
      </c>
      <c r="F138" s="347"/>
      <c r="I138" s="38"/>
      <c r="J138" s="38"/>
      <c r="K138" s="38"/>
      <c r="L138" s="38"/>
      <c r="M138" s="325"/>
      <c r="N138" s="38"/>
      <c r="O138" s="325"/>
      <c r="P138" s="38"/>
      <c r="T138" s="9" t="s">
        <v>246</v>
      </c>
      <c r="U138" s="48">
        <f t="shared" si="135"/>
        <v>1</v>
      </c>
      <c r="V138" s="9">
        <f t="shared" ref="V138:CG138" si="150">+(V8=$E$119)*1</f>
        <v>0</v>
      </c>
      <c r="W138" s="9">
        <f t="shared" si="150"/>
        <v>0</v>
      </c>
      <c r="X138" s="9">
        <f t="shared" si="150"/>
        <v>1</v>
      </c>
      <c r="Y138" s="9">
        <f t="shared" si="150"/>
        <v>0</v>
      </c>
      <c r="Z138" s="9">
        <f t="shared" si="150"/>
        <v>0</v>
      </c>
      <c r="AA138" s="9">
        <f t="shared" si="150"/>
        <v>0</v>
      </c>
      <c r="AB138" s="9">
        <f t="shared" si="150"/>
        <v>0</v>
      </c>
      <c r="AC138" s="9">
        <f t="shared" si="150"/>
        <v>0</v>
      </c>
      <c r="AD138" s="9">
        <f t="shared" si="150"/>
        <v>0</v>
      </c>
      <c r="AE138" s="9">
        <f t="shared" si="150"/>
        <v>0</v>
      </c>
      <c r="AF138" s="9">
        <f t="shared" si="150"/>
        <v>0</v>
      </c>
      <c r="AG138" s="9">
        <f t="shared" si="150"/>
        <v>0</v>
      </c>
      <c r="AH138" s="9">
        <f t="shared" si="150"/>
        <v>0</v>
      </c>
      <c r="AI138" s="9">
        <f t="shared" si="150"/>
        <v>0</v>
      </c>
      <c r="AJ138" s="9">
        <f t="shared" si="150"/>
        <v>0</v>
      </c>
      <c r="AK138" s="9">
        <f t="shared" si="150"/>
        <v>0</v>
      </c>
      <c r="AL138" s="9">
        <f t="shared" si="150"/>
        <v>0</v>
      </c>
      <c r="AM138" s="9">
        <f t="shared" si="150"/>
        <v>0</v>
      </c>
      <c r="AN138" s="9">
        <f t="shared" si="150"/>
        <v>0</v>
      </c>
      <c r="AO138" s="9">
        <f t="shared" si="150"/>
        <v>0</v>
      </c>
      <c r="AP138" s="9">
        <f t="shared" si="150"/>
        <v>0</v>
      </c>
      <c r="AQ138" s="9">
        <f t="shared" si="150"/>
        <v>0</v>
      </c>
      <c r="AR138" s="9">
        <f t="shared" si="150"/>
        <v>0</v>
      </c>
      <c r="AS138" s="9">
        <f t="shared" si="150"/>
        <v>0</v>
      </c>
      <c r="AT138" s="9">
        <f t="shared" si="150"/>
        <v>0</v>
      </c>
      <c r="AU138" s="9">
        <f t="shared" si="150"/>
        <v>0</v>
      </c>
      <c r="AV138" s="9">
        <f t="shared" si="150"/>
        <v>0</v>
      </c>
      <c r="AW138" s="9">
        <f t="shared" si="150"/>
        <v>0</v>
      </c>
      <c r="AX138" s="9">
        <f t="shared" si="150"/>
        <v>0</v>
      </c>
      <c r="AY138" s="9">
        <f t="shared" si="150"/>
        <v>0</v>
      </c>
      <c r="AZ138" s="9">
        <f t="shared" si="150"/>
        <v>0</v>
      </c>
      <c r="BA138" s="9">
        <f t="shared" si="150"/>
        <v>0</v>
      </c>
      <c r="BB138" s="9">
        <f t="shared" si="150"/>
        <v>0</v>
      </c>
      <c r="BC138" s="9">
        <f t="shared" si="150"/>
        <v>0</v>
      </c>
      <c r="BD138" s="9">
        <f t="shared" si="150"/>
        <v>0</v>
      </c>
      <c r="BE138" s="9">
        <f t="shared" si="150"/>
        <v>0</v>
      </c>
      <c r="BF138" s="9">
        <f t="shared" si="150"/>
        <v>0</v>
      </c>
      <c r="BG138" s="9">
        <f t="shared" si="150"/>
        <v>0</v>
      </c>
      <c r="BH138" s="9">
        <f t="shared" si="150"/>
        <v>0</v>
      </c>
      <c r="BI138" s="9">
        <f t="shared" si="150"/>
        <v>0</v>
      </c>
      <c r="BJ138" s="9">
        <f t="shared" si="150"/>
        <v>0</v>
      </c>
      <c r="BK138" s="9">
        <f t="shared" si="150"/>
        <v>0</v>
      </c>
      <c r="BL138" s="9">
        <f t="shared" si="150"/>
        <v>0</v>
      </c>
      <c r="BM138" s="9">
        <f t="shared" si="150"/>
        <v>0</v>
      </c>
      <c r="BN138" s="9">
        <f t="shared" si="150"/>
        <v>0</v>
      </c>
      <c r="BO138" s="9">
        <f t="shared" si="150"/>
        <v>0</v>
      </c>
      <c r="BP138" s="9">
        <f t="shared" si="150"/>
        <v>0</v>
      </c>
      <c r="BQ138" s="9">
        <f t="shared" si="150"/>
        <v>0</v>
      </c>
      <c r="BR138" s="9">
        <f t="shared" si="150"/>
        <v>0</v>
      </c>
      <c r="BS138" s="9">
        <f t="shared" si="150"/>
        <v>0</v>
      </c>
      <c r="BT138" s="9">
        <f t="shared" si="150"/>
        <v>0</v>
      </c>
      <c r="BU138" s="9">
        <f t="shared" si="150"/>
        <v>0</v>
      </c>
      <c r="BV138" s="9">
        <f t="shared" si="150"/>
        <v>0</v>
      </c>
      <c r="BW138" s="9">
        <f t="shared" si="150"/>
        <v>0</v>
      </c>
      <c r="BX138" s="9">
        <f t="shared" si="150"/>
        <v>0</v>
      </c>
      <c r="BY138" s="9">
        <f t="shared" si="150"/>
        <v>0</v>
      </c>
      <c r="BZ138" s="9">
        <f t="shared" si="150"/>
        <v>0</v>
      </c>
      <c r="CA138" s="9">
        <f t="shared" si="150"/>
        <v>0</v>
      </c>
      <c r="CB138" s="9">
        <f t="shared" si="150"/>
        <v>0</v>
      </c>
      <c r="CC138" s="9">
        <f t="shared" si="150"/>
        <v>0</v>
      </c>
      <c r="CD138" s="9">
        <f t="shared" si="150"/>
        <v>0</v>
      </c>
      <c r="CE138" s="9">
        <f t="shared" si="150"/>
        <v>0</v>
      </c>
      <c r="CF138" s="9">
        <f t="shared" si="150"/>
        <v>0</v>
      </c>
      <c r="CG138" s="9">
        <f t="shared" si="150"/>
        <v>0</v>
      </c>
      <c r="CH138" s="9">
        <f t="shared" ref="CH138:DB138" si="151">+(CH8=$E$119)*1</f>
        <v>0</v>
      </c>
      <c r="CI138" s="9">
        <f t="shared" si="151"/>
        <v>0</v>
      </c>
      <c r="CJ138" s="9">
        <f t="shared" si="151"/>
        <v>0</v>
      </c>
      <c r="CK138" s="9">
        <f t="shared" si="151"/>
        <v>0</v>
      </c>
      <c r="CL138" s="9">
        <f t="shared" si="151"/>
        <v>0</v>
      </c>
      <c r="CM138" s="9">
        <f t="shared" si="151"/>
        <v>0</v>
      </c>
      <c r="CN138" s="9">
        <f t="shared" si="151"/>
        <v>0</v>
      </c>
      <c r="CO138" s="9">
        <f t="shared" si="151"/>
        <v>0</v>
      </c>
      <c r="CP138" s="9">
        <f t="shared" si="151"/>
        <v>0</v>
      </c>
      <c r="CQ138" s="9">
        <f t="shared" si="151"/>
        <v>0</v>
      </c>
      <c r="CR138" s="9">
        <f t="shared" si="151"/>
        <v>0</v>
      </c>
      <c r="CS138" s="9">
        <f t="shared" si="151"/>
        <v>0</v>
      </c>
      <c r="CT138" s="9">
        <f t="shared" si="151"/>
        <v>0</v>
      </c>
      <c r="CU138" s="9">
        <f t="shared" si="151"/>
        <v>0</v>
      </c>
      <c r="CV138" s="9">
        <f t="shared" si="151"/>
        <v>0</v>
      </c>
      <c r="CW138" s="9">
        <f t="shared" si="151"/>
        <v>0</v>
      </c>
      <c r="CX138" s="9">
        <f t="shared" si="151"/>
        <v>0</v>
      </c>
      <c r="CY138" s="9">
        <f t="shared" si="151"/>
        <v>0</v>
      </c>
      <c r="CZ138" s="9">
        <f t="shared" si="151"/>
        <v>0</v>
      </c>
      <c r="DA138" s="9">
        <f t="shared" si="151"/>
        <v>0</v>
      </c>
      <c r="DB138" s="9">
        <f t="shared" si="151"/>
        <v>0</v>
      </c>
      <c r="DC138" s="21" t="s">
        <v>11</v>
      </c>
    </row>
    <row r="139" spans="2:107">
      <c r="B139" s="332" t="s">
        <v>247</v>
      </c>
      <c r="C139" s="346">
        <f>+-E75</f>
        <v>-3050</v>
      </c>
      <c r="D139" s="338">
        <f t="shared" si="146"/>
        <v>-23.828125</v>
      </c>
      <c r="E139" s="334">
        <f>-+C139/$C$142</f>
        <v>-2.9045599133667864E-3</v>
      </c>
      <c r="F139" s="347"/>
      <c r="T139" s="9" t="s">
        <v>248</v>
      </c>
      <c r="U139" s="48">
        <f t="shared" si="135"/>
        <v>2</v>
      </c>
      <c r="V139" s="9">
        <f t="shared" ref="V139:CG139" si="152">+(V8&gt;$E$119)*(V8&lt;=$E$120)*1</f>
        <v>0</v>
      </c>
      <c r="W139" s="9">
        <f t="shared" si="152"/>
        <v>0</v>
      </c>
      <c r="X139" s="9">
        <f>+(X8&gt;$E$119)*(X8&lt;=$E$120)*1</f>
        <v>0</v>
      </c>
      <c r="Y139" s="9">
        <f t="shared" si="152"/>
        <v>1</v>
      </c>
      <c r="Z139" s="9">
        <f t="shared" si="152"/>
        <v>1</v>
      </c>
      <c r="AA139" s="9">
        <f t="shared" si="152"/>
        <v>0</v>
      </c>
      <c r="AB139" s="9">
        <f t="shared" si="152"/>
        <v>0</v>
      </c>
      <c r="AC139" s="9">
        <f t="shared" si="152"/>
        <v>0</v>
      </c>
      <c r="AD139" s="9">
        <f t="shared" si="152"/>
        <v>0</v>
      </c>
      <c r="AE139" s="9">
        <f t="shared" si="152"/>
        <v>0</v>
      </c>
      <c r="AF139" s="9">
        <f t="shared" si="152"/>
        <v>0</v>
      </c>
      <c r="AG139" s="9">
        <f t="shared" si="152"/>
        <v>0</v>
      </c>
      <c r="AH139" s="9">
        <f t="shared" si="152"/>
        <v>0</v>
      </c>
      <c r="AI139" s="9">
        <f t="shared" si="152"/>
        <v>0</v>
      </c>
      <c r="AJ139" s="9">
        <f t="shared" si="152"/>
        <v>0</v>
      </c>
      <c r="AK139" s="9">
        <f t="shared" si="152"/>
        <v>0</v>
      </c>
      <c r="AL139" s="9">
        <f t="shared" si="152"/>
        <v>0</v>
      </c>
      <c r="AM139" s="9">
        <f t="shared" si="152"/>
        <v>0</v>
      </c>
      <c r="AN139" s="9">
        <f t="shared" si="152"/>
        <v>0</v>
      </c>
      <c r="AO139" s="9">
        <f t="shared" si="152"/>
        <v>0</v>
      </c>
      <c r="AP139" s="9">
        <f t="shared" si="152"/>
        <v>0</v>
      </c>
      <c r="AQ139" s="9">
        <f t="shared" si="152"/>
        <v>0</v>
      </c>
      <c r="AR139" s="9">
        <f t="shared" si="152"/>
        <v>0</v>
      </c>
      <c r="AS139" s="9">
        <f t="shared" si="152"/>
        <v>0</v>
      </c>
      <c r="AT139" s="9">
        <f t="shared" si="152"/>
        <v>0</v>
      </c>
      <c r="AU139" s="9">
        <f t="shared" si="152"/>
        <v>0</v>
      </c>
      <c r="AV139" s="9">
        <f t="shared" si="152"/>
        <v>0</v>
      </c>
      <c r="AW139" s="9">
        <f t="shared" si="152"/>
        <v>0</v>
      </c>
      <c r="AX139" s="9">
        <f t="shared" si="152"/>
        <v>0</v>
      </c>
      <c r="AY139" s="9">
        <f t="shared" si="152"/>
        <v>0</v>
      </c>
      <c r="AZ139" s="9">
        <f t="shared" si="152"/>
        <v>0</v>
      </c>
      <c r="BA139" s="9">
        <f t="shared" si="152"/>
        <v>0</v>
      </c>
      <c r="BB139" s="9">
        <f t="shared" si="152"/>
        <v>0</v>
      </c>
      <c r="BC139" s="9">
        <f t="shared" si="152"/>
        <v>0</v>
      </c>
      <c r="BD139" s="9">
        <f t="shared" si="152"/>
        <v>0</v>
      </c>
      <c r="BE139" s="9">
        <f t="shared" si="152"/>
        <v>0</v>
      </c>
      <c r="BF139" s="9">
        <f t="shared" si="152"/>
        <v>0</v>
      </c>
      <c r="BG139" s="9">
        <f t="shared" si="152"/>
        <v>0</v>
      </c>
      <c r="BH139" s="9">
        <f t="shared" si="152"/>
        <v>0</v>
      </c>
      <c r="BI139" s="9">
        <f t="shared" si="152"/>
        <v>0</v>
      </c>
      <c r="BJ139" s="9">
        <f t="shared" si="152"/>
        <v>0</v>
      </c>
      <c r="BK139" s="9">
        <f t="shared" si="152"/>
        <v>0</v>
      </c>
      <c r="BL139" s="9">
        <f t="shared" si="152"/>
        <v>0</v>
      </c>
      <c r="BM139" s="9">
        <f t="shared" si="152"/>
        <v>0</v>
      </c>
      <c r="BN139" s="9">
        <f t="shared" si="152"/>
        <v>0</v>
      </c>
      <c r="BO139" s="9">
        <f t="shared" si="152"/>
        <v>0</v>
      </c>
      <c r="BP139" s="9">
        <f t="shared" si="152"/>
        <v>0</v>
      </c>
      <c r="BQ139" s="9">
        <f t="shared" si="152"/>
        <v>0</v>
      </c>
      <c r="BR139" s="9">
        <f t="shared" si="152"/>
        <v>0</v>
      </c>
      <c r="BS139" s="9">
        <f t="shared" si="152"/>
        <v>0</v>
      </c>
      <c r="BT139" s="9">
        <f t="shared" si="152"/>
        <v>0</v>
      </c>
      <c r="BU139" s="9">
        <f t="shared" si="152"/>
        <v>0</v>
      </c>
      <c r="BV139" s="9">
        <f t="shared" si="152"/>
        <v>0</v>
      </c>
      <c r="BW139" s="9">
        <f t="shared" si="152"/>
        <v>0</v>
      </c>
      <c r="BX139" s="9">
        <f t="shared" si="152"/>
        <v>0</v>
      </c>
      <c r="BY139" s="9">
        <f t="shared" si="152"/>
        <v>0</v>
      </c>
      <c r="BZ139" s="9">
        <f t="shared" si="152"/>
        <v>0</v>
      </c>
      <c r="CA139" s="9">
        <f t="shared" si="152"/>
        <v>0</v>
      </c>
      <c r="CB139" s="9">
        <f t="shared" si="152"/>
        <v>0</v>
      </c>
      <c r="CC139" s="9">
        <f t="shared" si="152"/>
        <v>0</v>
      </c>
      <c r="CD139" s="9">
        <f t="shared" si="152"/>
        <v>0</v>
      </c>
      <c r="CE139" s="9">
        <f t="shared" si="152"/>
        <v>0</v>
      </c>
      <c r="CF139" s="9">
        <f t="shared" si="152"/>
        <v>0</v>
      </c>
      <c r="CG139" s="9">
        <f t="shared" si="152"/>
        <v>0</v>
      </c>
      <c r="CH139" s="9">
        <f t="shared" ref="CH139:DB139" si="153">+(CH8&gt;$E$119)*(CH8&lt;=$E$120)*1</f>
        <v>0</v>
      </c>
      <c r="CI139" s="9">
        <f t="shared" si="153"/>
        <v>0</v>
      </c>
      <c r="CJ139" s="9">
        <f t="shared" si="153"/>
        <v>0</v>
      </c>
      <c r="CK139" s="9">
        <f t="shared" si="153"/>
        <v>0</v>
      </c>
      <c r="CL139" s="9">
        <f t="shared" si="153"/>
        <v>0</v>
      </c>
      <c r="CM139" s="9">
        <f t="shared" si="153"/>
        <v>0</v>
      </c>
      <c r="CN139" s="9">
        <f t="shared" si="153"/>
        <v>0</v>
      </c>
      <c r="CO139" s="9">
        <f t="shared" si="153"/>
        <v>0</v>
      </c>
      <c r="CP139" s="9">
        <f t="shared" si="153"/>
        <v>0</v>
      </c>
      <c r="CQ139" s="9">
        <f t="shared" si="153"/>
        <v>0</v>
      </c>
      <c r="CR139" s="9">
        <f t="shared" si="153"/>
        <v>0</v>
      </c>
      <c r="CS139" s="9">
        <f t="shared" si="153"/>
        <v>0</v>
      </c>
      <c r="CT139" s="9">
        <f t="shared" si="153"/>
        <v>0</v>
      </c>
      <c r="CU139" s="9">
        <f t="shared" si="153"/>
        <v>0</v>
      </c>
      <c r="CV139" s="9">
        <f t="shared" si="153"/>
        <v>0</v>
      </c>
      <c r="CW139" s="9">
        <f t="shared" si="153"/>
        <v>0</v>
      </c>
      <c r="CX139" s="9">
        <f t="shared" si="153"/>
        <v>0</v>
      </c>
      <c r="CY139" s="9">
        <f t="shared" si="153"/>
        <v>0</v>
      </c>
      <c r="CZ139" s="9">
        <f t="shared" si="153"/>
        <v>0</v>
      </c>
      <c r="DA139" s="9">
        <f t="shared" si="153"/>
        <v>0</v>
      </c>
      <c r="DB139" s="9">
        <f t="shared" si="153"/>
        <v>0</v>
      </c>
      <c r="DC139" s="21" t="s">
        <v>11</v>
      </c>
    </row>
    <row r="140" spans="2:107">
      <c r="B140" s="332" t="s">
        <v>249</v>
      </c>
      <c r="C140" s="346">
        <f>+-E78</f>
        <v>-1600</v>
      </c>
      <c r="D140" s="338">
        <f t="shared" si="146"/>
        <v>-12.5</v>
      </c>
      <c r="E140" s="334">
        <f t="shared" si="147"/>
        <v>-1.5237035611104454E-3</v>
      </c>
      <c r="F140" s="347"/>
      <c r="T140" s="9" t="s">
        <v>250</v>
      </c>
      <c r="U140" s="48">
        <f t="shared" si="135"/>
        <v>1</v>
      </c>
      <c r="V140" s="9">
        <f t="shared" ref="V140:CG140" si="154">+(V8=$E$121)*1</f>
        <v>0</v>
      </c>
      <c r="W140" s="9">
        <f t="shared" si="154"/>
        <v>0</v>
      </c>
      <c r="X140" s="9">
        <f t="shared" si="154"/>
        <v>0</v>
      </c>
      <c r="Y140" s="9">
        <f t="shared" si="154"/>
        <v>0</v>
      </c>
      <c r="Z140" s="9">
        <f t="shared" si="154"/>
        <v>0</v>
      </c>
      <c r="AA140" s="9">
        <f t="shared" si="154"/>
        <v>1</v>
      </c>
      <c r="AB140" s="9">
        <f t="shared" si="154"/>
        <v>0</v>
      </c>
      <c r="AC140" s="9">
        <f t="shared" si="154"/>
        <v>0</v>
      </c>
      <c r="AD140" s="9">
        <f t="shared" si="154"/>
        <v>0</v>
      </c>
      <c r="AE140" s="9">
        <f t="shared" si="154"/>
        <v>0</v>
      </c>
      <c r="AF140" s="9">
        <f t="shared" si="154"/>
        <v>0</v>
      </c>
      <c r="AG140" s="9">
        <f t="shared" si="154"/>
        <v>0</v>
      </c>
      <c r="AH140" s="9">
        <f t="shared" si="154"/>
        <v>0</v>
      </c>
      <c r="AI140" s="9">
        <f t="shared" si="154"/>
        <v>0</v>
      </c>
      <c r="AJ140" s="9">
        <f t="shared" si="154"/>
        <v>0</v>
      </c>
      <c r="AK140" s="9">
        <f t="shared" si="154"/>
        <v>0</v>
      </c>
      <c r="AL140" s="9">
        <f t="shared" si="154"/>
        <v>0</v>
      </c>
      <c r="AM140" s="9">
        <f t="shared" si="154"/>
        <v>0</v>
      </c>
      <c r="AN140" s="9">
        <f t="shared" si="154"/>
        <v>0</v>
      </c>
      <c r="AO140" s="9">
        <f t="shared" si="154"/>
        <v>0</v>
      </c>
      <c r="AP140" s="9">
        <f t="shared" si="154"/>
        <v>0</v>
      </c>
      <c r="AQ140" s="9">
        <f t="shared" si="154"/>
        <v>0</v>
      </c>
      <c r="AR140" s="9">
        <f t="shared" si="154"/>
        <v>0</v>
      </c>
      <c r="AS140" s="9">
        <f t="shared" si="154"/>
        <v>0</v>
      </c>
      <c r="AT140" s="9">
        <f t="shared" si="154"/>
        <v>0</v>
      </c>
      <c r="AU140" s="9">
        <f t="shared" si="154"/>
        <v>0</v>
      </c>
      <c r="AV140" s="9">
        <f t="shared" si="154"/>
        <v>0</v>
      </c>
      <c r="AW140" s="9">
        <f t="shared" si="154"/>
        <v>0</v>
      </c>
      <c r="AX140" s="9">
        <f t="shared" si="154"/>
        <v>0</v>
      </c>
      <c r="AY140" s="9">
        <f t="shared" si="154"/>
        <v>0</v>
      </c>
      <c r="AZ140" s="9">
        <f t="shared" si="154"/>
        <v>0</v>
      </c>
      <c r="BA140" s="9">
        <f t="shared" si="154"/>
        <v>0</v>
      </c>
      <c r="BB140" s="9">
        <f t="shared" si="154"/>
        <v>0</v>
      </c>
      <c r="BC140" s="9">
        <f t="shared" si="154"/>
        <v>0</v>
      </c>
      <c r="BD140" s="9">
        <f t="shared" si="154"/>
        <v>0</v>
      </c>
      <c r="BE140" s="9">
        <f t="shared" si="154"/>
        <v>0</v>
      </c>
      <c r="BF140" s="9">
        <f t="shared" si="154"/>
        <v>0</v>
      </c>
      <c r="BG140" s="9">
        <f t="shared" si="154"/>
        <v>0</v>
      </c>
      <c r="BH140" s="9">
        <f t="shared" si="154"/>
        <v>0</v>
      </c>
      <c r="BI140" s="9">
        <f t="shared" si="154"/>
        <v>0</v>
      </c>
      <c r="BJ140" s="9">
        <f t="shared" si="154"/>
        <v>0</v>
      </c>
      <c r="BK140" s="9">
        <f t="shared" si="154"/>
        <v>0</v>
      </c>
      <c r="BL140" s="9">
        <f t="shared" si="154"/>
        <v>0</v>
      </c>
      <c r="BM140" s="9">
        <f t="shared" si="154"/>
        <v>0</v>
      </c>
      <c r="BN140" s="9">
        <f t="shared" si="154"/>
        <v>0</v>
      </c>
      <c r="BO140" s="9">
        <f t="shared" si="154"/>
        <v>0</v>
      </c>
      <c r="BP140" s="9">
        <f t="shared" si="154"/>
        <v>0</v>
      </c>
      <c r="BQ140" s="9">
        <f t="shared" si="154"/>
        <v>0</v>
      </c>
      <c r="BR140" s="9">
        <f t="shared" si="154"/>
        <v>0</v>
      </c>
      <c r="BS140" s="9">
        <f t="shared" si="154"/>
        <v>0</v>
      </c>
      <c r="BT140" s="9">
        <f t="shared" si="154"/>
        <v>0</v>
      </c>
      <c r="BU140" s="9">
        <f t="shared" si="154"/>
        <v>0</v>
      </c>
      <c r="BV140" s="9">
        <f t="shared" si="154"/>
        <v>0</v>
      </c>
      <c r="BW140" s="9">
        <f t="shared" si="154"/>
        <v>0</v>
      </c>
      <c r="BX140" s="9">
        <f t="shared" si="154"/>
        <v>0</v>
      </c>
      <c r="BY140" s="9">
        <f t="shared" si="154"/>
        <v>0</v>
      </c>
      <c r="BZ140" s="9">
        <f t="shared" si="154"/>
        <v>0</v>
      </c>
      <c r="CA140" s="9">
        <f t="shared" si="154"/>
        <v>0</v>
      </c>
      <c r="CB140" s="9">
        <f t="shared" si="154"/>
        <v>0</v>
      </c>
      <c r="CC140" s="9">
        <f t="shared" si="154"/>
        <v>0</v>
      </c>
      <c r="CD140" s="9">
        <f t="shared" si="154"/>
        <v>0</v>
      </c>
      <c r="CE140" s="9">
        <f t="shared" si="154"/>
        <v>0</v>
      </c>
      <c r="CF140" s="9">
        <f t="shared" si="154"/>
        <v>0</v>
      </c>
      <c r="CG140" s="9">
        <f t="shared" si="154"/>
        <v>0</v>
      </c>
      <c r="CH140" s="9">
        <f t="shared" ref="CH140:DB140" si="155">+(CH8=$E$121)*1</f>
        <v>0</v>
      </c>
      <c r="CI140" s="9">
        <f t="shared" si="155"/>
        <v>0</v>
      </c>
      <c r="CJ140" s="9">
        <f t="shared" si="155"/>
        <v>0</v>
      </c>
      <c r="CK140" s="9">
        <f t="shared" si="155"/>
        <v>0</v>
      </c>
      <c r="CL140" s="9">
        <f t="shared" si="155"/>
        <v>0</v>
      </c>
      <c r="CM140" s="9">
        <f t="shared" si="155"/>
        <v>0</v>
      </c>
      <c r="CN140" s="9">
        <f t="shared" si="155"/>
        <v>0</v>
      </c>
      <c r="CO140" s="9">
        <f t="shared" si="155"/>
        <v>0</v>
      </c>
      <c r="CP140" s="9">
        <f t="shared" si="155"/>
        <v>0</v>
      </c>
      <c r="CQ140" s="9">
        <f t="shared" si="155"/>
        <v>0</v>
      </c>
      <c r="CR140" s="9">
        <f t="shared" si="155"/>
        <v>0</v>
      </c>
      <c r="CS140" s="9">
        <f t="shared" si="155"/>
        <v>0</v>
      </c>
      <c r="CT140" s="9">
        <f t="shared" si="155"/>
        <v>0</v>
      </c>
      <c r="CU140" s="9">
        <f t="shared" si="155"/>
        <v>0</v>
      </c>
      <c r="CV140" s="9">
        <f t="shared" si="155"/>
        <v>0</v>
      </c>
      <c r="CW140" s="9">
        <f t="shared" si="155"/>
        <v>0</v>
      </c>
      <c r="CX140" s="9">
        <f t="shared" si="155"/>
        <v>0</v>
      </c>
      <c r="CY140" s="9">
        <f t="shared" si="155"/>
        <v>0</v>
      </c>
      <c r="CZ140" s="9">
        <f t="shared" si="155"/>
        <v>0</v>
      </c>
      <c r="DA140" s="9">
        <f t="shared" si="155"/>
        <v>0</v>
      </c>
      <c r="DB140" s="9">
        <f t="shared" si="155"/>
        <v>0</v>
      </c>
      <c r="DC140" s="21" t="s">
        <v>11</v>
      </c>
    </row>
    <row r="141" spans="2:107">
      <c r="B141" s="337" t="s">
        <v>251</v>
      </c>
      <c r="C141" s="350">
        <f>+U32</f>
        <v>-3000</v>
      </c>
      <c r="D141" s="350">
        <f t="shared" si="146"/>
        <v>-23.4375</v>
      </c>
      <c r="E141" s="334">
        <f t="shared" si="147"/>
        <v>-2.8569441770820853E-3</v>
      </c>
      <c r="T141" s="9" t="s">
        <v>252</v>
      </c>
      <c r="U141" s="48">
        <f t="shared" si="135"/>
        <v>8</v>
      </c>
      <c r="V141" s="9">
        <f t="shared" ref="V141:CG141" si="156">+(V8&gt;=$M$123)*(V8&lt;=$P$123)*1</f>
        <v>0</v>
      </c>
      <c r="W141" s="9">
        <f t="shared" si="156"/>
        <v>1</v>
      </c>
      <c r="X141" s="9">
        <f t="shared" si="156"/>
        <v>1</v>
      </c>
      <c r="Y141" s="9">
        <f t="shared" si="156"/>
        <v>1</v>
      </c>
      <c r="Z141" s="9">
        <f t="shared" si="156"/>
        <v>1</v>
      </c>
      <c r="AA141" s="9">
        <f t="shared" si="156"/>
        <v>1</v>
      </c>
      <c r="AB141" s="9">
        <f t="shared" si="156"/>
        <v>1</v>
      </c>
      <c r="AC141" s="9">
        <f t="shared" si="156"/>
        <v>1</v>
      </c>
      <c r="AD141" s="9">
        <f t="shared" si="156"/>
        <v>1</v>
      </c>
      <c r="AE141" s="9">
        <f t="shared" si="156"/>
        <v>0</v>
      </c>
      <c r="AF141" s="9">
        <f t="shared" si="156"/>
        <v>0</v>
      </c>
      <c r="AG141" s="9">
        <f t="shared" si="156"/>
        <v>0</v>
      </c>
      <c r="AH141" s="9">
        <f t="shared" si="156"/>
        <v>0</v>
      </c>
      <c r="AI141" s="9">
        <f t="shared" si="156"/>
        <v>0</v>
      </c>
      <c r="AJ141" s="9">
        <f t="shared" si="156"/>
        <v>0</v>
      </c>
      <c r="AK141" s="9">
        <f t="shared" si="156"/>
        <v>0</v>
      </c>
      <c r="AL141" s="9">
        <f t="shared" si="156"/>
        <v>0</v>
      </c>
      <c r="AM141" s="9">
        <f t="shared" si="156"/>
        <v>0</v>
      </c>
      <c r="AN141" s="9">
        <f t="shared" si="156"/>
        <v>0</v>
      </c>
      <c r="AO141" s="9">
        <f t="shared" si="156"/>
        <v>0</v>
      </c>
      <c r="AP141" s="9">
        <f t="shared" si="156"/>
        <v>0</v>
      </c>
      <c r="AQ141" s="9">
        <f t="shared" si="156"/>
        <v>0</v>
      </c>
      <c r="AR141" s="9">
        <f t="shared" si="156"/>
        <v>0</v>
      </c>
      <c r="AS141" s="9">
        <f t="shared" si="156"/>
        <v>0</v>
      </c>
      <c r="AT141" s="9">
        <f t="shared" si="156"/>
        <v>0</v>
      </c>
      <c r="AU141" s="9">
        <f t="shared" si="156"/>
        <v>0</v>
      </c>
      <c r="AV141" s="9">
        <f t="shared" si="156"/>
        <v>0</v>
      </c>
      <c r="AW141" s="9">
        <f t="shared" si="156"/>
        <v>0</v>
      </c>
      <c r="AX141" s="9">
        <f t="shared" si="156"/>
        <v>0</v>
      </c>
      <c r="AY141" s="9">
        <f t="shared" si="156"/>
        <v>0</v>
      </c>
      <c r="AZ141" s="9">
        <f t="shared" si="156"/>
        <v>0</v>
      </c>
      <c r="BA141" s="9">
        <f t="shared" si="156"/>
        <v>0</v>
      </c>
      <c r="BB141" s="9">
        <f t="shared" si="156"/>
        <v>0</v>
      </c>
      <c r="BC141" s="9">
        <f t="shared" si="156"/>
        <v>0</v>
      </c>
      <c r="BD141" s="9">
        <f t="shared" si="156"/>
        <v>0</v>
      </c>
      <c r="BE141" s="9">
        <f t="shared" si="156"/>
        <v>0</v>
      </c>
      <c r="BF141" s="9">
        <f t="shared" si="156"/>
        <v>0</v>
      </c>
      <c r="BG141" s="9">
        <f t="shared" si="156"/>
        <v>0</v>
      </c>
      <c r="BH141" s="9">
        <f t="shared" si="156"/>
        <v>0</v>
      </c>
      <c r="BI141" s="9">
        <f t="shared" si="156"/>
        <v>0</v>
      </c>
      <c r="BJ141" s="9">
        <f t="shared" si="156"/>
        <v>0</v>
      </c>
      <c r="BK141" s="9">
        <f t="shared" si="156"/>
        <v>0</v>
      </c>
      <c r="BL141" s="9">
        <f t="shared" si="156"/>
        <v>0</v>
      </c>
      <c r="BM141" s="9">
        <f t="shared" si="156"/>
        <v>0</v>
      </c>
      <c r="BN141" s="9">
        <f t="shared" si="156"/>
        <v>0</v>
      </c>
      <c r="BO141" s="9">
        <f t="shared" si="156"/>
        <v>0</v>
      </c>
      <c r="BP141" s="9">
        <f t="shared" si="156"/>
        <v>0</v>
      </c>
      <c r="BQ141" s="9">
        <f t="shared" si="156"/>
        <v>0</v>
      </c>
      <c r="BR141" s="9">
        <f t="shared" si="156"/>
        <v>0</v>
      </c>
      <c r="BS141" s="9">
        <f t="shared" si="156"/>
        <v>0</v>
      </c>
      <c r="BT141" s="9">
        <f t="shared" si="156"/>
        <v>0</v>
      </c>
      <c r="BU141" s="9">
        <f t="shared" si="156"/>
        <v>0</v>
      </c>
      <c r="BV141" s="9">
        <f t="shared" si="156"/>
        <v>0</v>
      </c>
      <c r="BW141" s="9">
        <f t="shared" si="156"/>
        <v>0</v>
      </c>
      <c r="BX141" s="9">
        <f t="shared" si="156"/>
        <v>0</v>
      </c>
      <c r="BY141" s="9">
        <f t="shared" si="156"/>
        <v>0</v>
      </c>
      <c r="BZ141" s="9">
        <f t="shared" si="156"/>
        <v>0</v>
      </c>
      <c r="CA141" s="9">
        <f t="shared" si="156"/>
        <v>0</v>
      </c>
      <c r="CB141" s="9">
        <f t="shared" si="156"/>
        <v>0</v>
      </c>
      <c r="CC141" s="9">
        <f t="shared" si="156"/>
        <v>0</v>
      </c>
      <c r="CD141" s="9">
        <f t="shared" si="156"/>
        <v>0</v>
      </c>
      <c r="CE141" s="9">
        <f t="shared" si="156"/>
        <v>0</v>
      </c>
      <c r="CF141" s="9">
        <f t="shared" si="156"/>
        <v>0</v>
      </c>
      <c r="CG141" s="9">
        <f t="shared" si="156"/>
        <v>0</v>
      </c>
      <c r="CH141" s="9">
        <f t="shared" ref="CH141:DB141" si="157">+(CH8&gt;=$M$123)*(CH8&lt;=$P$123)*1</f>
        <v>0</v>
      </c>
      <c r="CI141" s="9">
        <f t="shared" si="157"/>
        <v>0</v>
      </c>
      <c r="CJ141" s="9">
        <f t="shared" si="157"/>
        <v>0</v>
      </c>
      <c r="CK141" s="9">
        <f t="shared" si="157"/>
        <v>0</v>
      </c>
      <c r="CL141" s="9">
        <f t="shared" si="157"/>
        <v>0</v>
      </c>
      <c r="CM141" s="9">
        <f t="shared" si="157"/>
        <v>0</v>
      </c>
      <c r="CN141" s="9">
        <f t="shared" si="157"/>
        <v>0</v>
      </c>
      <c r="CO141" s="9">
        <f t="shared" si="157"/>
        <v>0</v>
      </c>
      <c r="CP141" s="9">
        <f t="shared" si="157"/>
        <v>0</v>
      </c>
      <c r="CQ141" s="9">
        <f t="shared" si="157"/>
        <v>0</v>
      </c>
      <c r="CR141" s="9">
        <f t="shared" si="157"/>
        <v>0</v>
      </c>
      <c r="CS141" s="9">
        <f t="shared" si="157"/>
        <v>0</v>
      </c>
      <c r="CT141" s="9">
        <f t="shared" si="157"/>
        <v>0</v>
      </c>
      <c r="CU141" s="9">
        <f t="shared" si="157"/>
        <v>0</v>
      </c>
      <c r="CV141" s="9">
        <f t="shared" si="157"/>
        <v>0</v>
      </c>
      <c r="CW141" s="9">
        <f t="shared" si="157"/>
        <v>0</v>
      </c>
      <c r="CX141" s="9">
        <f t="shared" si="157"/>
        <v>0</v>
      </c>
      <c r="CY141" s="9">
        <f t="shared" si="157"/>
        <v>0</v>
      </c>
      <c r="CZ141" s="9">
        <f t="shared" si="157"/>
        <v>0</v>
      </c>
      <c r="DA141" s="9">
        <f t="shared" si="157"/>
        <v>0</v>
      </c>
      <c r="DB141" s="9">
        <f t="shared" si="157"/>
        <v>0</v>
      </c>
      <c r="DC141" s="21" t="s">
        <v>11</v>
      </c>
    </row>
    <row r="142" spans="2:107">
      <c r="B142" s="340" t="s">
        <v>253</v>
      </c>
      <c r="C142" s="351">
        <f>+SUM(C136:C141)</f>
        <v>-1050073.02</v>
      </c>
      <c r="D142" s="351">
        <f t="shared" si="146"/>
        <v>-8203.6954687500001</v>
      </c>
      <c r="E142" s="352">
        <f t="shared" si="147"/>
        <v>-1</v>
      </c>
      <c r="F142" s="363"/>
      <c r="DC142" s="21" t="s">
        <v>11</v>
      </c>
    </row>
    <row r="143" spans="2:107">
      <c r="B143" s="353" t="s">
        <v>254</v>
      </c>
      <c r="C143" s="354">
        <f>+C142+C133</f>
        <v>98783.139999999898</v>
      </c>
      <c r="D143" s="354">
        <f t="shared" si="146"/>
        <v>771.7432812499992</v>
      </c>
      <c r="E143" s="355">
        <f>+-C143/$C$142</f>
        <v>9.4072638872294709E-2</v>
      </c>
      <c r="F143" s="67"/>
      <c r="T143" s="9" t="str">
        <f>+I118</f>
        <v>Honorarios gestiòn</v>
      </c>
      <c r="U143" s="48">
        <f>+SUM(V143:DB143)</f>
        <v>3</v>
      </c>
      <c r="V143" s="9">
        <f>+(V8&gt;$M$118)*(V8&lt;=$P$118)*1</f>
        <v>0</v>
      </c>
      <c r="W143" s="9">
        <f t="shared" ref="W143:CH143" si="158">+(W8&gt;$M$118)*(W8&lt;=$P$118)*1</f>
        <v>0</v>
      </c>
      <c r="X143" s="9">
        <f t="shared" si="158"/>
        <v>0</v>
      </c>
      <c r="Y143" s="9">
        <f t="shared" si="158"/>
        <v>1</v>
      </c>
      <c r="Z143" s="9">
        <f t="shared" si="158"/>
        <v>1</v>
      </c>
      <c r="AA143" s="9">
        <f t="shared" si="158"/>
        <v>1</v>
      </c>
      <c r="AB143" s="9">
        <f t="shared" si="158"/>
        <v>0</v>
      </c>
      <c r="AC143" s="9">
        <f t="shared" si="158"/>
        <v>0</v>
      </c>
      <c r="AD143" s="9">
        <f t="shared" si="158"/>
        <v>0</v>
      </c>
      <c r="AE143" s="9">
        <f t="shared" si="158"/>
        <v>0</v>
      </c>
      <c r="AF143" s="9">
        <f t="shared" si="158"/>
        <v>0</v>
      </c>
      <c r="AG143" s="9">
        <f t="shared" si="158"/>
        <v>0</v>
      </c>
      <c r="AH143" s="9">
        <f t="shared" si="158"/>
        <v>0</v>
      </c>
      <c r="AI143" s="9">
        <f t="shared" si="158"/>
        <v>0</v>
      </c>
      <c r="AJ143" s="9">
        <f t="shared" si="158"/>
        <v>0</v>
      </c>
      <c r="AK143" s="9">
        <f t="shared" si="158"/>
        <v>0</v>
      </c>
      <c r="AL143" s="9">
        <f t="shared" si="158"/>
        <v>0</v>
      </c>
      <c r="AM143" s="9">
        <f t="shared" si="158"/>
        <v>0</v>
      </c>
      <c r="AN143" s="9">
        <f t="shared" si="158"/>
        <v>0</v>
      </c>
      <c r="AO143" s="9">
        <f t="shared" si="158"/>
        <v>0</v>
      </c>
      <c r="AP143" s="9">
        <f t="shared" si="158"/>
        <v>0</v>
      </c>
      <c r="AQ143" s="9">
        <f t="shared" si="158"/>
        <v>0</v>
      </c>
      <c r="AR143" s="9">
        <f t="shared" si="158"/>
        <v>0</v>
      </c>
      <c r="AS143" s="9">
        <f t="shared" si="158"/>
        <v>0</v>
      </c>
      <c r="AT143" s="9">
        <f t="shared" si="158"/>
        <v>0</v>
      </c>
      <c r="AU143" s="9">
        <f t="shared" si="158"/>
        <v>0</v>
      </c>
      <c r="AV143" s="9">
        <f t="shared" si="158"/>
        <v>0</v>
      </c>
      <c r="AW143" s="9">
        <f t="shared" si="158"/>
        <v>0</v>
      </c>
      <c r="AX143" s="9">
        <f t="shared" si="158"/>
        <v>0</v>
      </c>
      <c r="AY143" s="9">
        <f t="shared" si="158"/>
        <v>0</v>
      </c>
      <c r="AZ143" s="9">
        <f t="shared" si="158"/>
        <v>0</v>
      </c>
      <c r="BA143" s="9">
        <f t="shared" si="158"/>
        <v>0</v>
      </c>
      <c r="BB143" s="9">
        <f t="shared" si="158"/>
        <v>0</v>
      </c>
      <c r="BC143" s="9">
        <f t="shared" si="158"/>
        <v>0</v>
      </c>
      <c r="BD143" s="9">
        <f t="shared" si="158"/>
        <v>0</v>
      </c>
      <c r="BE143" s="9">
        <f t="shared" si="158"/>
        <v>0</v>
      </c>
      <c r="BF143" s="9">
        <f t="shared" si="158"/>
        <v>0</v>
      </c>
      <c r="BG143" s="9">
        <f t="shared" si="158"/>
        <v>0</v>
      </c>
      <c r="BH143" s="9">
        <f t="shared" si="158"/>
        <v>0</v>
      </c>
      <c r="BI143" s="9">
        <f t="shared" si="158"/>
        <v>0</v>
      </c>
      <c r="BJ143" s="9">
        <f t="shared" si="158"/>
        <v>0</v>
      </c>
      <c r="BK143" s="9">
        <f t="shared" si="158"/>
        <v>0</v>
      </c>
      <c r="BL143" s="9">
        <f t="shared" si="158"/>
        <v>0</v>
      </c>
      <c r="BM143" s="9">
        <f t="shared" si="158"/>
        <v>0</v>
      </c>
      <c r="BN143" s="9">
        <f t="shared" si="158"/>
        <v>0</v>
      </c>
      <c r="BO143" s="9">
        <f t="shared" si="158"/>
        <v>0</v>
      </c>
      <c r="BP143" s="9">
        <f t="shared" si="158"/>
        <v>0</v>
      </c>
      <c r="BQ143" s="9">
        <f t="shared" si="158"/>
        <v>0</v>
      </c>
      <c r="BR143" s="9">
        <f t="shared" si="158"/>
        <v>0</v>
      </c>
      <c r="BS143" s="9">
        <f t="shared" si="158"/>
        <v>0</v>
      </c>
      <c r="BT143" s="9">
        <f t="shared" si="158"/>
        <v>0</v>
      </c>
      <c r="BU143" s="9">
        <f t="shared" si="158"/>
        <v>0</v>
      </c>
      <c r="BV143" s="9">
        <f t="shared" si="158"/>
        <v>0</v>
      </c>
      <c r="BW143" s="9">
        <f t="shared" si="158"/>
        <v>0</v>
      </c>
      <c r="BX143" s="9">
        <f t="shared" si="158"/>
        <v>0</v>
      </c>
      <c r="BY143" s="9">
        <f t="shared" si="158"/>
        <v>0</v>
      </c>
      <c r="BZ143" s="9">
        <f t="shared" si="158"/>
        <v>0</v>
      </c>
      <c r="CA143" s="9">
        <f t="shared" si="158"/>
        <v>0</v>
      </c>
      <c r="CB143" s="9">
        <f t="shared" si="158"/>
        <v>0</v>
      </c>
      <c r="CC143" s="9">
        <f t="shared" si="158"/>
        <v>0</v>
      </c>
      <c r="CD143" s="9">
        <f t="shared" si="158"/>
        <v>0</v>
      </c>
      <c r="CE143" s="9">
        <f t="shared" si="158"/>
        <v>0</v>
      </c>
      <c r="CF143" s="9">
        <f t="shared" si="158"/>
        <v>0</v>
      </c>
      <c r="CG143" s="9">
        <f t="shared" si="158"/>
        <v>0</v>
      </c>
      <c r="CH143" s="9">
        <f t="shared" si="158"/>
        <v>0</v>
      </c>
      <c r="CI143" s="9">
        <f t="shared" ref="CI143:DB143" si="159">+(CI8&gt;$M$118)*(CI8&lt;=$P$118)*1</f>
        <v>0</v>
      </c>
      <c r="CJ143" s="9">
        <f t="shared" si="159"/>
        <v>0</v>
      </c>
      <c r="CK143" s="9">
        <f t="shared" si="159"/>
        <v>0</v>
      </c>
      <c r="CL143" s="9">
        <f t="shared" si="159"/>
        <v>0</v>
      </c>
      <c r="CM143" s="9">
        <f t="shared" si="159"/>
        <v>0</v>
      </c>
      <c r="CN143" s="9">
        <f t="shared" si="159"/>
        <v>0</v>
      </c>
      <c r="CO143" s="9">
        <f t="shared" si="159"/>
        <v>0</v>
      </c>
      <c r="CP143" s="9">
        <f t="shared" si="159"/>
        <v>0</v>
      </c>
      <c r="CQ143" s="9">
        <f t="shared" si="159"/>
        <v>0</v>
      </c>
      <c r="CR143" s="9">
        <f t="shared" si="159"/>
        <v>0</v>
      </c>
      <c r="CS143" s="9">
        <f t="shared" si="159"/>
        <v>0</v>
      </c>
      <c r="CT143" s="9">
        <f t="shared" si="159"/>
        <v>0</v>
      </c>
      <c r="CU143" s="9">
        <f t="shared" si="159"/>
        <v>0</v>
      </c>
      <c r="CV143" s="9">
        <f t="shared" si="159"/>
        <v>0</v>
      </c>
      <c r="CW143" s="9">
        <f t="shared" si="159"/>
        <v>0</v>
      </c>
      <c r="CX143" s="9">
        <f t="shared" si="159"/>
        <v>0</v>
      </c>
      <c r="CY143" s="9">
        <f t="shared" si="159"/>
        <v>0</v>
      </c>
      <c r="CZ143" s="9">
        <f t="shared" si="159"/>
        <v>0</v>
      </c>
      <c r="DA143" s="9">
        <f t="shared" si="159"/>
        <v>0</v>
      </c>
      <c r="DB143" s="9">
        <f t="shared" si="159"/>
        <v>0</v>
      </c>
      <c r="DC143" s="21" t="s">
        <v>11</v>
      </c>
    </row>
    <row r="144" spans="2:107">
      <c r="B144" s="356"/>
      <c r="D144" s="209"/>
      <c r="E144" s="34"/>
      <c r="T144" s="9" t="str">
        <f>+I120</f>
        <v>Construcciòn</v>
      </c>
      <c r="U144" s="48">
        <f>+SUM(V144:DB144)</f>
        <v>2</v>
      </c>
      <c r="V144" s="9">
        <f t="shared" ref="V144:CG144" si="160">+(V8&gt;$M$120)*(V8&lt;=$P$120)*1</f>
        <v>0</v>
      </c>
      <c r="W144" s="9">
        <f t="shared" si="160"/>
        <v>0</v>
      </c>
      <c r="X144" s="9">
        <f t="shared" si="160"/>
        <v>0</v>
      </c>
      <c r="Y144" s="9">
        <f t="shared" si="160"/>
        <v>1</v>
      </c>
      <c r="Z144" s="9">
        <f t="shared" si="160"/>
        <v>1</v>
      </c>
      <c r="AA144" s="9">
        <f t="shared" si="160"/>
        <v>0</v>
      </c>
      <c r="AB144" s="9">
        <f t="shared" si="160"/>
        <v>0</v>
      </c>
      <c r="AC144" s="9">
        <f t="shared" si="160"/>
        <v>0</v>
      </c>
      <c r="AD144" s="9">
        <f t="shared" si="160"/>
        <v>0</v>
      </c>
      <c r="AE144" s="9">
        <f t="shared" si="160"/>
        <v>0</v>
      </c>
      <c r="AF144" s="9">
        <f t="shared" si="160"/>
        <v>0</v>
      </c>
      <c r="AG144" s="9">
        <f t="shared" si="160"/>
        <v>0</v>
      </c>
      <c r="AH144" s="9">
        <f t="shared" si="160"/>
        <v>0</v>
      </c>
      <c r="AI144" s="9">
        <f t="shared" si="160"/>
        <v>0</v>
      </c>
      <c r="AJ144" s="9">
        <f t="shared" si="160"/>
        <v>0</v>
      </c>
      <c r="AK144" s="9">
        <f t="shared" si="160"/>
        <v>0</v>
      </c>
      <c r="AL144" s="9">
        <f t="shared" si="160"/>
        <v>0</v>
      </c>
      <c r="AM144" s="9">
        <f t="shared" si="160"/>
        <v>0</v>
      </c>
      <c r="AN144" s="9">
        <f t="shared" si="160"/>
        <v>0</v>
      </c>
      <c r="AO144" s="9">
        <f t="shared" si="160"/>
        <v>0</v>
      </c>
      <c r="AP144" s="9">
        <f t="shared" si="160"/>
        <v>0</v>
      </c>
      <c r="AQ144" s="9">
        <f t="shared" si="160"/>
        <v>0</v>
      </c>
      <c r="AR144" s="9">
        <f t="shared" si="160"/>
        <v>0</v>
      </c>
      <c r="AS144" s="9">
        <f t="shared" si="160"/>
        <v>0</v>
      </c>
      <c r="AT144" s="9">
        <f t="shared" si="160"/>
        <v>0</v>
      </c>
      <c r="AU144" s="9">
        <f t="shared" si="160"/>
        <v>0</v>
      </c>
      <c r="AV144" s="9">
        <f t="shared" si="160"/>
        <v>0</v>
      </c>
      <c r="AW144" s="9">
        <f t="shared" si="160"/>
        <v>0</v>
      </c>
      <c r="AX144" s="9">
        <f t="shared" si="160"/>
        <v>0</v>
      </c>
      <c r="AY144" s="9">
        <f t="shared" si="160"/>
        <v>0</v>
      </c>
      <c r="AZ144" s="9">
        <f t="shared" si="160"/>
        <v>0</v>
      </c>
      <c r="BA144" s="9">
        <f t="shared" si="160"/>
        <v>0</v>
      </c>
      <c r="BB144" s="9">
        <f t="shared" si="160"/>
        <v>0</v>
      </c>
      <c r="BC144" s="9">
        <f t="shared" si="160"/>
        <v>0</v>
      </c>
      <c r="BD144" s="9">
        <f t="shared" si="160"/>
        <v>0</v>
      </c>
      <c r="BE144" s="9">
        <f t="shared" si="160"/>
        <v>0</v>
      </c>
      <c r="BF144" s="9">
        <f t="shared" si="160"/>
        <v>0</v>
      </c>
      <c r="BG144" s="9">
        <f t="shared" si="160"/>
        <v>0</v>
      </c>
      <c r="BH144" s="9">
        <f t="shared" si="160"/>
        <v>0</v>
      </c>
      <c r="BI144" s="9">
        <f t="shared" si="160"/>
        <v>0</v>
      </c>
      <c r="BJ144" s="9">
        <f t="shared" si="160"/>
        <v>0</v>
      </c>
      <c r="BK144" s="9">
        <f t="shared" si="160"/>
        <v>0</v>
      </c>
      <c r="BL144" s="9">
        <f t="shared" si="160"/>
        <v>0</v>
      </c>
      <c r="BM144" s="9">
        <f t="shared" si="160"/>
        <v>0</v>
      </c>
      <c r="BN144" s="9">
        <f t="shared" si="160"/>
        <v>0</v>
      </c>
      <c r="BO144" s="9">
        <f t="shared" si="160"/>
        <v>0</v>
      </c>
      <c r="BP144" s="9">
        <f t="shared" si="160"/>
        <v>0</v>
      </c>
      <c r="BQ144" s="9">
        <f t="shared" si="160"/>
        <v>0</v>
      </c>
      <c r="BR144" s="9">
        <f t="shared" si="160"/>
        <v>0</v>
      </c>
      <c r="BS144" s="9">
        <f t="shared" si="160"/>
        <v>0</v>
      </c>
      <c r="BT144" s="9">
        <f t="shared" si="160"/>
        <v>0</v>
      </c>
      <c r="BU144" s="9">
        <f t="shared" si="160"/>
        <v>0</v>
      </c>
      <c r="BV144" s="9">
        <f t="shared" si="160"/>
        <v>0</v>
      </c>
      <c r="BW144" s="9">
        <f t="shared" si="160"/>
        <v>0</v>
      </c>
      <c r="BX144" s="9">
        <f t="shared" si="160"/>
        <v>0</v>
      </c>
      <c r="BY144" s="9">
        <f t="shared" si="160"/>
        <v>0</v>
      </c>
      <c r="BZ144" s="9">
        <f t="shared" si="160"/>
        <v>0</v>
      </c>
      <c r="CA144" s="9">
        <f t="shared" si="160"/>
        <v>0</v>
      </c>
      <c r="CB144" s="9">
        <f t="shared" si="160"/>
        <v>0</v>
      </c>
      <c r="CC144" s="9">
        <f t="shared" si="160"/>
        <v>0</v>
      </c>
      <c r="CD144" s="9">
        <f t="shared" si="160"/>
        <v>0</v>
      </c>
      <c r="CE144" s="9">
        <f t="shared" si="160"/>
        <v>0</v>
      </c>
      <c r="CF144" s="9">
        <f t="shared" si="160"/>
        <v>0</v>
      </c>
      <c r="CG144" s="9">
        <f t="shared" si="160"/>
        <v>0</v>
      </c>
      <c r="CH144" s="9">
        <f t="shared" ref="CH144:DB144" si="161">+(CH8&gt;$M$120)*(CH8&lt;=$P$120)*1</f>
        <v>0</v>
      </c>
      <c r="CI144" s="9">
        <f t="shared" si="161"/>
        <v>0</v>
      </c>
      <c r="CJ144" s="9">
        <f t="shared" si="161"/>
        <v>0</v>
      </c>
      <c r="CK144" s="9">
        <f t="shared" si="161"/>
        <v>0</v>
      </c>
      <c r="CL144" s="9">
        <f t="shared" si="161"/>
        <v>0</v>
      </c>
      <c r="CM144" s="9">
        <f t="shared" si="161"/>
        <v>0</v>
      </c>
      <c r="CN144" s="9">
        <f t="shared" si="161"/>
        <v>0</v>
      </c>
      <c r="CO144" s="9">
        <f t="shared" si="161"/>
        <v>0</v>
      </c>
      <c r="CP144" s="9">
        <f t="shared" si="161"/>
        <v>0</v>
      </c>
      <c r="CQ144" s="9">
        <f t="shared" si="161"/>
        <v>0</v>
      </c>
      <c r="CR144" s="9">
        <f t="shared" si="161"/>
        <v>0</v>
      </c>
      <c r="CS144" s="9">
        <f t="shared" si="161"/>
        <v>0</v>
      </c>
      <c r="CT144" s="9">
        <f t="shared" si="161"/>
        <v>0</v>
      </c>
      <c r="CU144" s="9">
        <f t="shared" si="161"/>
        <v>0</v>
      </c>
      <c r="CV144" s="9">
        <f t="shared" si="161"/>
        <v>0</v>
      </c>
      <c r="CW144" s="9">
        <f t="shared" si="161"/>
        <v>0</v>
      </c>
      <c r="CX144" s="9">
        <f t="shared" si="161"/>
        <v>0</v>
      </c>
      <c r="CY144" s="9">
        <f t="shared" si="161"/>
        <v>0</v>
      </c>
      <c r="CZ144" s="9">
        <f t="shared" si="161"/>
        <v>0</v>
      </c>
      <c r="DA144" s="9">
        <f t="shared" si="161"/>
        <v>0</v>
      </c>
      <c r="DB144" s="9">
        <f t="shared" si="161"/>
        <v>0</v>
      </c>
      <c r="DC144" s="21" t="s">
        <v>11</v>
      </c>
    </row>
    <row r="145" spans="2:107">
      <c r="B145" s="356"/>
      <c r="D145" s="209"/>
      <c r="E145" s="34"/>
      <c r="T145" s="9" t="str">
        <f>+I121</f>
        <v>Entrega obra</v>
      </c>
      <c r="U145" s="48">
        <f>+SUM(V145:DB145)</f>
        <v>1</v>
      </c>
      <c r="V145" s="9">
        <f t="shared" ref="V145:CG145" si="162">+(V8=$P$121)*1</f>
        <v>0</v>
      </c>
      <c r="W145" s="9">
        <f t="shared" si="162"/>
        <v>0</v>
      </c>
      <c r="X145" s="9">
        <f t="shared" si="162"/>
        <v>0</v>
      </c>
      <c r="Y145" s="9">
        <f t="shared" si="162"/>
        <v>0</v>
      </c>
      <c r="Z145" s="9">
        <f t="shared" si="162"/>
        <v>0</v>
      </c>
      <c r="AA145" s="9">
        <f t="shared" si="162"/>
        <v>1</v>
      </c>
      <c r="AB145" s="9">
        <f t="shared" si="162"/>
        <v>0</v>
      </c>
      <c r="AC145" s="9">
        <f t="shared" si="162"/>
        <v>0</v>
      </c>
      <c r="AD145" s="9">
        <f t="shared" si="162"/>
        <v>0</v>
      </c>
      <c r="AE145" s="9">
        <f t="shared" si="162"/>
        <v>0</v>
      </c>
      <c r="AF145" s="9">
        <f t="shared" si="162"/>
        <v>0</v>
      </c>
      <c r="AG145" s="9">
        <f t="shared" si="162"/>
        <v>0</v>
      </c>
      <c r="AH145" s="9">
        <f t="shared" si="162"/>
        <v>0</v>
      </c>
      <c r="AI145" s="9">
        <f t="shared" si="162"/>
        <v>0</v>
      </c>
      <c r="AJ145" s="9">
        <f t="shared" si="162"/>
        <v>0</v>
      </c>
      <c r="AK145" s="9">
        <f t="shared" si="162"/>
        <v>0</v>
      </c>
      <c r="AL145" s="9">
        <f t="shared" si="162"/>
        <v>0</v>
      </c>
      <c r="AM145" s="9">
        <f t="shared" si="162"/>
        <v>0</v>
      </c>
      <c r="AN145" s="9">
        <f t="shared" si="162"/>
        <v>0</v>
      </c>
      <c r="AO145" s="9">
        <f t="shared" si="162"/>
        <v>0</v>
      </c>
      <c r="AP145" s="9">
        <f t="shared" si="162"/>
        <v>0</v>
      </c>
      <c r="AQ145" s="9">
        <f t="shared" si="162"/>
        <v>0</v>
      </c>
      <c r="AR145" s="9">
        <f t="shared" si="162"/>
        <v>0</v>
      </c>
      <c r="AS145" s="9">
        <f t="shared" si="162"/>
        <v>0</v>
      </c>
      <c r="AT145" s="9">
        <f t="shared" si="162"/>
        <v>0</v>
      </c>
      <c r="AU145" s="9">
        <f t="shared" si="162"/>
        <v>0</v>
      </c>
      <c r="AV145" s="9">
        <f t="shared" si="162"/>
        <v>0</v>
      </c>
      <c r="AW145" s="9">
        <f t="shared" si="162"/>
        <v>0</v>
      </c>
      <c r="AX145" s="9">
        <f t="shared" si="162"/>
        <v>0</v>
      </c>
      <c r="AY145" s="9">
        <f t="shared" si="162"/>
        <v>0</v>
      </c>
      <c r="AZ145" s="9">
        <f t="shared" si="162"/>
        <v>0</v>
      </c>
      <c r="BA145" s="9">
        <f t="shared" si="162"/>
        <v>0</v>
      </c>
      <c r="BB145" s="9">
        <f t="shared" si="162"/>
        <v>0</v>
      </c>
      <c r="BC145" s="9">
        <f t="shared" si="162"/>
        <v>0</v>
      </c>
      <c r="BD145" s="9">
        <f t="shared" si="162"/>
        <v>0</v>
      </c>
      <c r="BE145" s="9">
        <f t="shared" si="162"/>
        <v>0</v>
      </c>
      <c r="BF145" s="9">
        <f t="shared" si="162"/>
        <v>0</v>
      </c>
      <c r="BG145" s="9">
        <f t="shared" si="162"/>
        <v>0</v>
      </c>
      <c r="BH145" s="9">
        <f t="shared" si="162"/>
        <v>0</v>
      </c>
      <c r="BI145" s="9">
        <f t="shared" si="162"/>
        <v>0</v>
      </c>
      <c r="BJ145" s="9">
        <f t="shared" si="162"/>
        <v>0</v>
      </c>
      <c r="BK145" s="9">
        <f t="shared" si="162"/>
        <v>0</v>
      </c>
      <c r="BL145" s="9">
        <f t="shared" si="162"/>
        <v>0</v>
      </c>
      <c r="BM145" s="9">
        <f t="shared" si="162"/>
        <v>0</v>
      </c>
      <c r="BN145" s="9">
        <f t="shared" si="162"/>
        <v>0</v>
      </c>
      <c r="BO145" s="9">
        <f t="shared" si="162"/>
        <v>0</v>
      </c>
      <c r="BP145" s="9">
        <f t="shared" si="162"/>
        <v>0</v>
      </c>
      <c r="BQ145" s="9">
        <f t="shared" si="162"/>
        <v>0</v>
      </c>
      <c r="BR145" s="9">
        <f t="shared" si="162"/>
        <v>0</v>
      </c>
      <c r="BS145" s="9">
        <f t="shared" si="162"/>
        <v>0</v>
      </c>
      <c r="BT145" s="9">
        <f t="shared" si="162"/>
        <v>0</v>
      </c>
      <c r="BU145" s="9">
        <f t="shared" si="162"/>
        <v>0</v>
      </c>
      <c r="BV145" s="9">
        <f t="shared" si="162"/>
        <v>0</v>
      </c>
      <c r="BW145" s="9">
        <f t="shared" si="162"/>
        <v>0</v>
      </c>
      <c r="BX145" s="9">
        <f t="shared" si="162"/>
        <v>0</v>
      </c>
      <c r="BY145" s="9">
        <f t="shared" si="162"/>
        <v>0</v>
      </c>
      <c r="BZ145" s="9">
        <f t="shared" si="162"/>
        <v>0</v>
      </c>
      <c r="CA145" s="9">
        <f t="shared" si="162"/>
        <v>0</v>
      </c>
      <c r="CB145" s="9">
        <f t="shared" si="162"/>
        <v>0</v>
      </c>
      <c r="CC145" s="9">
        <f t="shared" si="162"/>
        <v>0</v>
      </c>
      <c r="CD145" s="9">
        <f t="shared" si="162"/>
        <v>0</v>
      </c>
      <c r="CE145" s="9">
        <f t="shared" si="162"/>
        <v>0</v>
      </c>
      <c r="CF145" s="9">
        <f t="shared" si="162"/>
        <v>0</v>
      </c>
      <c r="CG145" s="9">
        <f t="shared" si="162"/>
        <v>0</v>
      </c>
      <c r="CH145" s="9">
        <f t="shared" ref="CH145:DB145" si="163">+(CH8=$P$121)*1</f>
        <v>0</v>
      </c>
      <c r="CI145" s="9">
        <f t="shared" si="163"/>
        <v>0</v>
      </c>
      <c r="CJ145" s="9">
        <f t="shared" si="163"/>
        <v>0</v>
      </c>
      <c r="CK145" s="9">
        <f t="shared" si="163"/>
        <v>0</v>
      </c>
      <c r="CL145" s="9">
        <f t="shared" si="163"/>
        <v>0</v>
      </c>
      <c r="CM145" s="9">
        <f t="shared" si="163"/>
        <v>0</v>
      </c>
      <c r="CN145" s="9">
        <f t="shared" si="163"/>
        <v>0</v>
      </c>
      <c r="CO145" s="9">
        <f t="shared" si="163"/>
        <v>0</v>
      </c>
      <c r="CP145" s="9">
        <f t="shared" si="163"/>
        <v>0</v>
      </c>
      <c r="CQ145" s="9">
        <f t="shared" si="163"/>
        <v>0</v>
      </c>
      <c r="CR145" s="9">
        <f t="shared" si="163"/>
        <v>0</v>
      </c>
      <c r="CS145" s="9">
        <f t="shared" si="163"/>
        <v>0</v>
      </c>
      <c r="CT145" s="9">
        <f t="shared" si="163"/>
        <v>0</v>
      </c>
      <c r="CU145" s="9">
        <f t="shared" si="163"/>
        <v>0</v>
      </c>
      <c r="CV145" s="9">
        <f t="shared" si="163"/>
        <v>0</v>
      </c>
      <c r="CW145" s="9">
        <f t="shared" si="163"/>
        <v>0</v>
      </c>
      <c r="CX145" s="9">
        <f t="shared" si="163"/>
        <v>0</v>
      </c>
      <c r="CY145" s="9">
        <f t="shared" si="163"/>
        <v>0</v>
      </c>
      <c r="CZ145" s="9">
        <f t="shared" si="163"/>
        <v>0</v>
      </c>
      <c r="DA145" s="9">
        <f t="shared" si="163"/>
        <v>0</v>
      </c>
      <c r="DB145" s="9">
        <f t="shared" si="163"/>
        <v>0</v>
      </c>
      <c r="DC145" s="21" t="s">
        <v>11</v>
      </c>
    </row>
    <row r="146" spans="2:107">
      <c r="B146" s="356"/>
      <c r="D146" s="209"/>
      <c r="E146" s="34"/>
      <c r="T146" s="9" t="s">
        <v>255</v>
      </c>
      <c r="U146" s="48">
        <f>+SUM(V146:DB146)</f>
        <v>4</v>
      </c>
      <c r="V146" s="9">
        <f t="shared" ref="V146:CG146" si="164">+(V8&gt;=$M$122)*(V8&lt;=$P$122)*1</f>
        <v>0</v>
      </c>
      <c r="W146" s="9">
        <f t="shared" si="164"/>
        <v>0</v>
      </c>
      <c r="X146" s="9">
        <f t="shared" si="164"/>
        <v>0</v>
      </c>
      <c r="Y146" s="9">
        <f t="shared" si="164"/>
        <v>0</v>
      </c>
      <c r="Z146" s="9">
        <f t="shared" si="164"/>
        <v>0</v>
      </c>
      <c r="AA146" s="9">
        <f t="shared" si="164"/>
        <v>1</v>
      </c>
      <c r="AB146" s="9">
        <f t="shared" si="164"/>
        <v>1</v>
      </c>
      <c r="AC146" s="9">
        <f t="shared" si="164"/>
        <v>1</v>
      </c>
      <c r="AD146" s="9">
        <f t="shared" si="164"/>
        <v>1</v>
      </c>
      <c r="AE146" s="9">
        <f t="shared" si="164"/>
        <v>0</v>
      </c>
      <c r="AF146" s="9">
        <f t="shared" si="164"/>
        <v>0</v>
      </c>
      <c r="AG146" s="9">
        <f t="shared" si="164"/>
        <v>0</v>
      </c>
      <c r="AH146" s="9">
        <f t="shared" si="164"/>
        <v>0</v>
      </c>
      <c r="AI146" s="9">
        <f t="shared" si="164"/>
        <v>0</v>
      </c>
      <c r="AJ146" s="9">
        <f t="shared" si="164"/>
        <v>0</v>
      </c>
      <c r="AK146" s="9">
        <f t="shared" si="164"/>
        <v>0</v>
      </c>
      <c r="AL146" s="9">
        <f t="shared" si="164"/>
        <v>0</v>
      </c>
      <c r="AM146" s="9">
        <f t="shared" si="164"/>
        <v>0</v>
      </c>
      <c r="AN146" s="9">
        <f t="shared" si="164"/>
        <v>0</v>
      </c>
      <c r="AO146" s="9">
        <f t="shared" si="164"/>
        <v>0</v>
      </c>
      <c r="AP146" s="9">
        <f t="shared" si="164"/>
        <v>0</v>
      </c>
      <c r="AQ146" s="9">
        <f t="shared" si="164"/>
        <v>0</v>
      </c>
      <c r="AR146" s="9">
        <f t="shared" si="164"/>
        <v>0</v>
      </c>
      <c r="AS146" s="9">
        <f t="shared" si="164"/>
        <v>0</v>
      </c>
      <c r="AT146" s="9">
        <f t="shared" si="164"/>
        <v>0</v>
      </c>
      <c r="AU146" s="9">
        <f t="shared" si="164"/>
        <v>0</v>
      </c>
      <c r="AV146" s="9">
        <f t="shared" si="164"/>
        <v>0</v>
      </c>
      <c r="AW146" s="9">
        <f t="shared" si="164"/>
        <v>0</v>
      </c>
      <c r="AX146" s="9">
        <f t="shared" si="164"/>
        <v>0</v>
      </c>
      <c r="AY146" s="9">
        <f t="shared" si="164"/>
        <v>0</v>
      </c>
      <c r="AZ146" s="9">
        <f t="shared" si="164"/>
        <v>0</v>
      </c>
      <c r="BA146" s="9">
        <f t="shared" si="164"/>
        <v>0</v>
      </c>
      <c r="BB146" s="9">
        <f t="shared" si="164"/>
        <v>0</v>
      </c>
      <c r="BC146" s="9">
        <f t="shared" si="164"/>
        <v>0</v>
      </c>
      <c r="BD146" s="9">
        <f t="shared" si="164"/>
        <v>0</v>
      </c>
      <c r="BE146" s="9">
        <f t="shared" si="164"/>
        <v>0</v>
      </c>
      <c r="BF146" s="9">
        <f t="shared" si="164"/>
        <v>0</v>
      </c>
      <c r="BG146" s="9">
        <f t="shared" si="164"/>
        <v>0</v>
      </c>
      <c r="BH146" s="9">
        <f t="shared" si="164"/>
        <v>0</v>
      </c>
      <c r="BI146" s="9">
        <f t="shared" si="164"/>
        <v>0</v>
      </c>
      <c r="BJ146" s="9">
        <f t="shared" si="164"/>
        <v>0</v>
      </c>
      <c r="BK146" s="9">
        <f t="shared" si="164"/>
        <v>0</v>
      </c>
      <c r="BL146" s="9">
        <f t="shared" si="164"/>
        <v>0</v>
      </c>
      <c r="BM146" s="9">
        <f t="shared" si="164"/>
        <v>0</v>
      </c>
      <c r="BN146" s="9">
        <f t="shared" si="164"/>
        <v>0</v>
      </c>
      <c r="BO146" s="9">
        <f t="shared" si="164"/>
        <v>0</v>
      </c>
      <c r="BP146" s="9">
        <f t="shared" si="164"/>
        <v>0</v>
      </c>
      <c r="BQ146" s="9">
        <f t="shared" si="164"/>
        <v>0</v>
      </c>
      <c r="BR146" s="9">
        <f t="shared" si="164"/>
        <v>0</v>
      </c>
      <c r="BS146" s="9">
        <f t="shared" si="164"/>
        <v>0</v>
      </c>
      <c r="BT146" s="9">
        <f t="shared" si="164"/>
        <v>0</v>
      </c>
      <c r="BU146" s="9">
        <f t="shared" si="164"/>
        <v>0</v>
      </c>
      <c r="BV146" s="9">
        <f t="shared" si="164"/>
        <v>0</v>
      </c>
      <c r="BW146" s="9">
        <f t="shared" si="164"/>
        <v>0</v>
      </c>
      <c r="BX146" s="9">
        <f t="shared" si="164"/>
        <v>0</v>
      </c>
      <c r="BY146" s="9">
        <f t="shared" si="164"/>
        <v>0</v>
      </c>
      <c r="BZ146" s="9">
        <f t="shared" si="164"/>
        <v>0</v>
      </c>
      <c r="CA146" s="9">
        <f t="shared" si="164"/>
        <v>0</v>
      </c>
      <c r="CB146" s="9">
        <f t="shared" si="164"/>
        <v>0</v>
      </c>
      <c r="CC146" s="9">
        <f t="shared" si="164"/>
        <v>0</v>
      </c>
      <c r="CD146" s="9">
        <f t="shared" si="164"/>
        <v>0</v>
      </c>
      <c r="CE146" s="9">
        <f t="shared" si="164"/>
        <v>0</v>
      </c>
      <c r="CF146" s="9">
        <f t="shared" si="164"/>
        <v>0</v>
      </c>
      <c r="CG146" s="9">
        <f t="shared" si="164"/>
        <v>0</v>
      </c>
      <c r="CH146" s="9">
        <f t="shared" ref="CH146:DB146" si="165">+(CH8&gt;=$M$122)*(CH8&lt;=$P$122)*1</f>
        <v>0</v>
      </c>
      <c r="CI146" s="9">
        <f t="shared" si="165"/>
        <v>0</v>
      </c>
      <c r="CJ146" s="9">
        <f t="shared" si="165"/>
        <v>0</v>
      </c>
      <c r="CK146" s="9">
        <f t="shared" si="165"/>
        <v>0</v>
      </c>
      <c r="CL146" s="9">
        <f t="shared" si="165"/>
        <v>0</v>
      </c>
      <c r="CM146" s="9">
        <f t="shared" si="165"/>
        <v>0</v>
      </c>
      <c r="CN146" s="9">
        <f t="shared" si="165"/>
        <v>0</v>
      </c>
      <c r="CO146" s="9">
        <f t="shared" si="165"/>
        <v>0</v>
      </c>
      <c r="CP146" s="9">
        <f t="shared" si="165"/>
        <v>0</v>
      </c>
      <c r="CQ146" s="9">
        <f t="shared" si="165"/>
        <v>0</v>
      </c>
      <c r="CR146" s="9">
        <f t="shared" si="165"/>
        <v>0</v>
      </c>
      <c r="CS146" s="9">
        <f t="shared" si="165"/>
        <v>0</v>
      </c>
      <c r="CT146" s="9">
        <f t="shared" si="165"/>
        <v>0</v>
      </c>
      <c r="CU146" s="9">
        <f t="shared" si="165"/>
        <v>0</v>
      </c>
      <c r="CV146" s="9">
        <f t="shared" si="165"/>
        <v>0</v>
      </c>
      <c r="CW146" s="9">
        <f t="shared" si="165"/>
        <v>0</v>
      </c>
      <c r="CX146" s="9">
        <f t="shared" si="165"/>
        <v>0</v>
      </c>
      <c r="CY146" s="9">
        <f t="shared" si="165"/>
        <v>0</v>
      </c>
      <c r="CZ146" s="9">
        <f t="shared" si="165"/>
        <v>0</v>
      </c>
      <c r="DA146" s="9">
        <f t="shared" si="165"/>
        <v>0</v>
      </c>
      <c r="DB146" s="9">
        <f t="shared" si="165"/>
        <v>0</v>
      </c>
      <c r="DC146" s="21" t="s">
        <v>11</v>
      </c>
    </row>
    <row r="147" spans="2:107">
      <c r="B147" s="359"/>
      <c r="C147" s="360"/>
      <c r="D147" s="359"/>
      <c r="E147" s="359"/>
      <c r="T147" s="68" t="s">
        <v>256</v>
      </c>
      <c r="U147" s="48">
        <f>+SUM(V147:DB147)</f>
        <v>1</v>
      </c>
      <c r="V147" s="9">
        <f t="shared" ref="V147:CG147" si="166">+(V8=$P$122)*1</f>
        <v>0</v>
      </c>
      <c r="W147" s="9">
        <f t="shared" si="166"/>
        <v>0</v>
      </c>
      <c r="X147" s="9">
        <f t="shared" si="166"/>
        <v>0</v>
      </c>
      <c r="Y147" s="9">
        <f t="shared" si="166"/>
        <v>0</v>
      </c>
      <c r="Z147" s="9">
        <f t="shared" si="166"/>
        <v>0</v>
      </c>
      <c r="AA147" s="9">
        <f t="shared" si="166"/>
        <v>0</v>
      </c>
      <c r="AB147" s="9">
        <f t="shared" si="166"/>
        <v>0</v>
      </c>
      <c r="AC147" s="9">
        <f t="shared" si="166"/>
        <v>0</v>
      </c>
      <c r="AD147" s="9">
        <f t="shared" si="166"/>
        <v>1</v>
      </c>
      <c r="AE147" s="9">
        <f t="shared" si="166"/>
        <v>0</v>
      </c>
      <c r="AF147" s="9">
        <f t="shared" si="166"/>
        <v>0</v>
      </c>
      <c r="AG147" s="9">
        <f t="shared" si="166"/>
        <v>0</v>
      </c>
      <c r="AH147" s="9">
        <f t="shared" si="166"/>
        <v>0</v>
      </c>
      <c r="AI147" s="9">
        <f t="shared" si="166"/>
        <v>0</v>
      </c>
      <c r="AJ147" s="9">
        <f t="shared" si="166"/>
        <v>0</v>
      </c>
      <c r="AK147" s="9">
        <f t="shared" si="166"/>
        <v>0</v>
      </c>
      <c r="AL147" s="9">
        <f t="shared" si="166"/>
        <v>0</v>
      </c>
      <c r="AM147" s="9">
        <f t="shared" si="166"/>
        <v>0</v>
      </c>
      <c r="AN147" s="9">
        <f t="shared" si="166"/>
        <v>0</v>
      </c>
      <c r="AO147" s="9">
        <f t="shared" si="166"/>
        <v>0</v>
      </c>
      <c r="AP147" s="9">
        <f t="shared" si="166"/>
        <v>0</v>
      </c>
      <c r="AQ147" s="9">
        <f t="shared" si="166"/>
        <v>0</v>
      </c>
      <c r="AR147" s="9">
        <f t="shared" si="166"/>
        <v>0</v>
      </c>
      <c r="AS147" s="9">
        <f t="shared" si="166"/>
        <v>0</v>
      </c>
      <c r="AT147" s="9">
        <f t="shared" si="166"/>
        <v>0</v>
      </c>
      <c r="AU147" s="9">
        <f t="shared" si="166"/>
        <v>0</v>
      </c>
      <c r="AV147" s="9">
        <f t="shared" si="166"/>
        <v>0</v>
      </c>
      <c r="AW147" s="9">
        <f t="shared" si="166"/>
        <v>0</v>
      </c>
      <c r="AX147" s="9">
        <f t="shared" si="166"/>
        <v>0</v>
      </c>
      <c r="AY147" s="9">
        <f t="shared" si="166"/>
        <v>0</v>
      </c>
      <c r="AZ147" s="9">
        <f t="shared" si="166"/>
        <v>0</v>
      </c>
      <c r="BA147" s="9">
        <f t="shared" si="166"/>
        <v>0</v>
      </c>
      <c r="BB147" s="9">
        <f t="shared" si="166"/>
        <v>0</v>
      </c>
      <c r="BC147" s="9">
        <f t="shared" si="166"/>
        <v>0</v>
      </c>
      <c r="BD147" s="9">
        <f t="shared" si="166"/>
        <v>0</v>
      </c>
      <c r="BE147" s="9">
        <f t="shared" si="166"/>
        <v>0</v>
      </c>
      <c r="BF147" s="9">
        <f t="shared" si="166"/>
        <v>0</v>
      </c>
      <c r="BG147" s="9">
        <f t="shared" si="166"/>
        <v>0</v>
      </c>
      <c r="BH147" s="9">
        <f t="shared" si="166"/>
        <v>0</v>
      </c>
      <c r="BI147" s="9">
        <f t="shared" si="166"/>
        <v>0</v>
      </c>
      <c r="BJ147" s="9">
        <f t="shared" si="166"/>
        <v>0</v>
      </c>
      <c r="BK147" s="9">
        <f t="shared" si="166"/>
        <v>0</v>
      </c>
      <c r="BL147" s="9">
        <f t="shared" si="166"/>
        <v>0</v>
      </c>
      <c r="BM147" s="9">
        <f t="shared" si="166"/>
        <v>0</v>
      </c>
      <c r="BN147" s="9">
        <f t="shared" si="166"/>
        <v>0</v>
      </c>
      <c r="BO147" s="9">
        <f t="shared" si="166"/>
        <v>0</v>
      </c>
      <c r="BP147" s="9">
        <f t="shared" si="166"/>
        <v>0</v>
      </c>
      <c r="BQ147" s="9">
        <f t="shared" si="166"/>
        <v>0</v>
      </c>
      <c r="BR147" s="9">
        <f t="shared" si="166"/>
        <v>0</v>
      </c>
      <c r="BS147" s="9">
        <f t="shared" si="166"/>
        <v>0</v>
      </c>
      <c r="BT147" s="9">
        <f t="shared" si="166"/>
        <v>0</v>
      </c>
      <c r="BU147" s="9">
        <f t="shared" si="166"/>
        <v>0</v>
      </c>
      <c r="BV147" s="9">
        <f t="shared" si="166"/>
        <v>0</v>
      </c>
      <c r="BW147" s="9">
        <f t="shared" si="166"/>
        <v>0</v>
      </c>
      <c r="BX147" s="9">
        <f t="shared" si="166"/>
        <v>0</v>
      </c>
      <c r="BY147" s="9">
        <f t="shared" si="166"/>
        <v>0</v>
      </c>
      <c r="BZ147" s="9">
        <f t="shared" si="166"/>
        <v>0</v>
      </c>
      <c r="CA147" s="9">
        <f t="shared" si="166"/>
        <v>0</v>
      </c>
      <c r="CB147" s="9">
        <f t="shared" si="166"/>
        <v>0</v>
      </c>
      <c r="CC147" s="9">
        <f t="shared" si="166"/>
        <v>0</v>
      </c>
      <c r="CD147" s="9">
        <f t="shared" si="166"/>
        <v>0</v>
      </c>
      <c r="CE147" s="9">
        <f t="shared" si="166"/>
        <v>0</v>
      </c>
      <c r="CF147" s="9">
        <f t="shared" si="166"/>
        <v>0</v>
      </c>
      <c r="CG147" s="9">
        <f t="shared" si="166"/>
        <v>0</v>
      </c>
      <c r="CH147" s="9">
        <f t="shared" ref="CH147:DB147" si="167">+(CH8=$P$122)*1</f>
        <v>0</v>
      </c>
      <c r="CI147" s="9">
        <f t="shared" si="167"/>
        <v>0</v>
      </c>
      <c r="CJ147" s="9">
        <f t="shared" si="167"/>
        <v>0</v>
      </c>
      <c r="CK147" s="9">
        <f t="shared" si="167"/>
        <v>0</v>
      </c>
      <c r="CL147" s="9">
        <f t="shared" si="167"/>
        <v>0</v>
      </c>
      <c r="CM147" s="9">
        <f t="shared" si="167"/>
        <v>0</v>
      </c>
      <c r="CN147" s="9">
        <f t="shared" si="167"/>
        <v>0</v>
      </c>
      <c r="CO147" s="9">
        <f t="shared" si="167"/>
        <v>0</v>
      </c>
      <c r="CP147" s="9">
        <f t="shared" si="167"/>
        <v>0</v>
      </c>
      <c r="CQ147" s="9">
        <f t="shared" si="167"/>
        <v>0</v>
      </c>
      <c r="CR147" s="9">
        <f t="shared" si="167"/>
        <v>0</v>
      </c>
      <c r="CS147" s="9">
        <f t="shared" si="167"/>
        <v>0</v>
      </c>
      <c r="CT147" s="9">
        <f t="shared" si="167"/>
        <v>0</v>
      </c>
      <c r="CU147" s="9">
        <f t="shared" si="167"/>
        <v>0</v>
      </c>
      <c r="CV147" s="9">
        <f t="shared" si="167"/>
        <v>0</v>
      </c>
      <c r="CW147" s="9">
        <f t="shared" si="167"/>
        <v>0</v>
      </c>
      <c r="CX147" s="9">
        <f t="shared" si="167"/>
        <v>0</v>
      </c>
      <c r="CY147" s="9">
        <f t="shared" si="167"/>
        <v>0</v>
      </c>
      <c r="CZ147" s="9">
        <f t="shared" si="167"/>
        <v>0</v>
      </c>
      <c r="DA147" s="9">
        <f t="shared" si="167"/>
        <v>0</v>
      </c>
      <c r="DB147" s="9">
        <f t="shared" si="167"/>
        <v>0</v>
      </c>
      <c r="DC147" s="21" t="s">
        <v>11</v>
      </c>
    </row>
    <row r="148" spans="2:107">
      <c r="C148" s="34"/>
      <c r="DC148" s="21" t="s">
        <v>11</v>
      </c>
    </row>
    <row r="149" spans="2:107">
      <c r="C149" s="22"/>
      <c r="D149" s="22"/>
      <c r="E149" s="53"/>
      <c r="F149" s="22"/>
      <c r="T149" s="68" t="s">
        <v>9</v>
      </c>
      <c r="DC149" s="21" t="s">
        <v>11</v>
      </c>
    </row>
    <row r="150" spans="2:107">
      <c r="C150" s="137"/>
      <c r="D150" s="25"/>
      <c r="E150" s="25"/>
      <c r="T150" s="39" t="s">
        <v>257</v>
      </c>
      <c r="U150" s="48">
        <f t="shared" ref="U150:U155" si="168">+SUM(V150:DB150)</f>
        <v>1</v>
      </c>
      <c r="V150" s="9">
        <f>+(V8=$P$115)*1</f>
        <v>0</v>
      </c>
      <c r="W150" s="9">
        <f t="shared" ref="W150:CH150" si="169">+(W8=$P$115)*1</f>
        <v>0</v>
      </c>
      <c r="X150" s="9">
        <f t="shared" si="169"/>
        <v>1</v>
      </c>
      <c r="Y150" s="9">
        <f t="shared" si="169"/>
        <v>0</v>
      </c>
      <c r="Z150" s="9">
        <f t="shared" si="169"/>
        <v>0</v>
      </c>
      <c r="AA150" s="9">
        <f t="shared" si="169"/>
        <v>0</v>
      </c>
      <c r="AB150" s="9">
        <f t="shared" si="169"/>
        <v>0</v>
      </c>
      <c r="AC150" s="9">
        <f t="shared" si="169"/>
        <v>0</v>
      </c>
      <c r="AD150" s="9">
        <f t="shared" si="169"/>
        <v>0</v>
      </c>
      <c r="AE150" s="9">
        <f t="shared" si="169"/>
        <v>0</v>
      </c>
      <c r="AF150" s="9">
        <f t="shared" si="169"/>
        <v>0</v>
      </c>
      <c r="AG150" s="9">
        <f t="shared" si="169"/>
        <v>0</v>
      </c>
      <c r="AH150" s="9">
        <f t="shared" si="169"/>
        <v>0</v>
      </c>
      <c r="AI150" s="9">
        <f t="shared" si="169"/>
        <v>0</v>
      </c>
      <c r="AJ150" s="9">
        <f t="shared" si="169"/>
        <v>0</v>
      </c>
      <c r="AK150" s="9">
        <f t="shared" si="169"/>
        <v>0</v>
      </c>
      <c r="AL150" s="9">
        <f t="shared" si="169"/>
        <v>0</v>
      </c>
      <c r="AM150" s="9">
        <f t="shared" si="169"/>
        <v>0</v>
      </c>
      <c r="AN150" s="9">
        <f t="shared" si="169"/>
        <v>0</v>
      </c>
      <c r="AO150" s="9">
        <f t="shared" si="169"/>
        <v>0</v>
      </c>
      <c r="AP150" s="9">
        <f t="shared" si="169"/>
        <v>0</v>
      </c>
      <c r="AQ150" s="9">
        <f t="shared" si="169"/>
        <v>0</v>
      </c>
      <c r="AR150" s="9">
        <f t="shared" si="169"/>
        <v>0</v>
      </c>
      <c r="AS150" s="9">
        <f t="shared" si="169"/>
        <v>0</v>
      </c>
      <c r="AT150" s="9">
        <f t="shared" si="169"/>
        <v>0</v>
      </c>
      <c r="AU150" s="9">
        <f t="shared" si="169"/>
        <v>0</v>
      </c>
      <c r="AV150" s="9">
        <f t="shared" si="169"/>
        <v>0</v>
      </c>
      <c r="AW150" s="9">
        <f t="shared" si="169"/>
        <v>0</v>
      </c>
      <c r="AX150" s="9">
        <f t="shared" si="169"/>
        <v>0</v>
      </c>
      <c r="AY150" s="9">
        <f t="shared" si="169"/>
        <v>0</v>
      </c>
      <c r="AZ150" s="9">
        <f t="shared" si="169"/>
        <v>0</v>
      </c>
      <c r="BA150" s="9">
        <f t="shared" si="169"/>
        <v>0</v>
      </c>
      <c r="BB150" s="9">
        <f t="shared" si="169"/>
        <v>0</v>
      </c>
      <c r="BC150" s="9">
        <f t="shared" si="169"/>
        <v>0</v>
      </c>
      <c r="BD150" s="9">
        <f t="shared" si="169"/>
        <v>0</v>
      </c>
      <c r="BE150" s="9">
        <f t="shared" si="169"/>
        <v>0</v>
      </c>
      <c r="BF150" s="9">
        <f t="shared" si="169"/>
        <v>0</v>
      </c>
      <c r="BG150" s="9">
        <f t="shared" si="169"/>
        <v>0</v>
      </c>
      <c r="BH150" s="9">
        <f t="shared" si="169"/>
        <v>0</v>
      </c>
      <c r="BI150" s="9">
        <f t="shared" si="169"/>
        <v>0</v>
      </c>
      <c r="BJ150" s="9">
        <f t="shared" si="169"/>
        <v>0</v>
      </c>
      <c r="BK150" s="9">
        <f t="shared" si="169"/>
        <v>0</v>
      </c>
      <c r="BL150" s="9">
        <f t="shared" si="169"/>
        <v>0</v>
      </c>
      <c r="BM150" s="9">
        <f t="shared" si="169"/>
        <v>0</v>
      </c>
      <c r="BN150" s="9">
        <f t="shared" si="169"/>
        <v>0</v>
      </c>
      <c r="BO150" s="9">
        <f t="shared" si="169"/>
        <v>0</v>
      </c>
      <c r="BP150" s="9">
        <f t="shared" si="169"/>
        <v>0</v>
      </c>
      <c r="BQ150" s="9">
        <f t="shared" si="169"/>
        <v>0</v>
      </c>
      <c r="BR150" s="9">
        <f t="shared" si="169"/>
        <v>0</v>
      </c>
      <c r="BS150" s="9">
        <f t="shared" si="169"/>
        <v>0</v>
      </c>
      <c r="BT150" s="9">
        <f t="shared" si="169"/>
        <v>0</v>
      </c>
      <c r="BU150" s="9">
        <f t="shared" si="169"/>
        <v>0</v>
      </c>
      <c r="BV150" s="9">
        <f t="shared" si="169"/>
        <v>0</v>
      </c>
      <c r="BW150" s="9">
        <f t="shared" si="169"/>
        <v>0</v>
      </c>
      <c r="BX150" s="9">
        <f t="shared" si="169"/>
        <v>0</v>
      </c>
      <c r="BY150" s="9">
        <f t="shared" si="169"/>
        <v>0</v>
      </c>
      <c r="BZ150" s="9">
        <f t="shared" si="169"/>
        <v>0</v>
      </c>
      <c r="CA150" s="9">
        <f t="shared" si="169"/>
        <v>0</v>
      </c>
      <c r="CB150" s="9">
        <f t="shared" si="169"/>
        <v>0</v>
      </c>
      <c r="CC150" s="9">
        <f t="shared" si="169"/>
        <v>0</v>
      </c>
      <c r="CD150" s="9">
        <f t="shared" si="169"/>
        <v>0</v>
      </c>
      <c r="CE150" s="9">
        <f t="shared" si="169"/>
        <v>0</v>
      </c>
      <c r="CF150" s="9">
        <f t="shared" si="169"/>
        <v>0</v>
      </c>
      <c r="CG150" s="9">
        <f t="shared" si="169"/>
        <v>0</v>
      </c>
      <c r="CH150" s="9">
        <f t="shared" si="169"/>
        <v>0</v>
      </c>
      <c r="CI150" s="9">
        <f t="shared" ref="CI150:DB150" si="170">+(CI8=$P$115)*1</f>
        <v>0</v>
      </c>
      <c r="CJ150" s="9">
        <f t="shared" si="170"/>
        <v>0</v>
      </c>
      <c r="CK150" s="9">
        <f t="shared" si="170"/>
        <v>0</v>
      </c>
      <c r="CL150" s="9">
        <f t="shared" si="170"/>
        <v>0</v>
      </c>
      <c r="CM150" s="9">
        <f t="shared" si="170"/>
        <v>0</v>
      </c>
      <c r="CN150" s="9">
        <f t="shared" si="170"/>
        <v>0</v>
      </c>
      <c r="CO150" s="9">
        <f t="shared" si="170"/>
        <v>0</v>
      </c>
      <c r="CP150" s="9">
        <f t="shared" si="170"/>
        <v>0</v>
      </c>
      <c r="CQ150" s="9">
        <f t="shared" si="170"/>
        <v>0</v>
      </c>
      <c r="CR150" s="9">
        <f t="shared" si="170"/>
        <v>0</v>
      </c>
      <c r="CS150" s="9">
        <f t="shared" si="170"/>
        <v>0</v>
      </c>
      <c r="CT150" s="9">
        <f t="shared" si="170"/>
        <v>0</v>
      </c>
      <c r="CU150" s="9">
        <f t="shared" si="170"/>
        <v>0</v>
      </c>
      <c r="CV150" s="9">
        <f t="shared" si="170"/>
        <v>0</v>
      </c>
      <c r="CW150" s="9">
        <f t="shared" si="170"/>
        <v>0</v>
      </c>
      <c r="CX150" s="9">
        <f t="shared" si="170"/>
        <v>0</v>
      </c>
      <c r="CY150" s="9">
        <f t="shared" si="170"/>
        <v>0</v>
      </c>
      <c r="CZ150" s="9">
        <f t="shared" si="170"/>
        <v>0</v>
      </c>
      <c r="DA150" s="9">
        <f t="shared" si="170"/>
        <v>0</v>
      </c>
      <c r="DB150" s="9">
        <f t="shared" si="170"/>
        <v>0</v>
      </c>
      <c r="DC150" s="21" t="s">
        <v>11</v>
      </c>
    </row>
    <row r="151" spans="2:107">
      <c r="C151" s="361"/>
      <c r="D151" s="362"/>
      <c r="E151" s="25"/>
      <c r="F151" s="22"/>
      <c r="T151" s="39" t="s">
        <v>43</v>
      </c>
      <c r="U151" s="48">
        <f t="shared" si="168"/>
        <v>1</v>
      </c>
      <c r="V151" s="9">
        <f t="shared" ref="V151:CG151" si="171">+(V8=$P$10)*1</f>
        <v>0</v>
      </c>
      <c r="W151" s="9">
        <f t="shared" si="171"/>
        <v>0</v>
      </c>
      <c r="X151" s="9">
        <f t="shared" si="171"/>
        <v>0</v>
      </c>
      <c r="Y151" s="9">
        <f t="shared" si="171"/>
        <v>0</v>
      </c>
      <c r="Z151" s="9">
        <f t="shared" si="171"/>
        <v>0</v>
      </c>
      <c r="AA151" s="9">
        <f t="shared" si="171"/>
        <v>0</v>
      </c>
      <c r="AB151" s="9">
        <f t="shared" si="171"/>
        <v>0</v>
      </c>
      <c r="AC151" s="9">
        <f t="shared" si="171"/>
        <v>0</v>
      </c>
      <c r="AD151" s="9">
        <f t="shared" si="171"/>
        <v>1</v>
      </c>
      <c r="AE151" s="9">
        <f t="shared" si="171"/>
        <v>0</v>
      </c>
      <c r="AF151" s="9">
        <f t="shared" si="171"/>
        <v>0</v>
      </c>
      <c r="AG151" s="9">
        <f t="shared" si="171"/>
        <v>0</v>
      </c>
      <c r="AH151" s="9">
        <f t="shared" si="171"/>
        <v>0</v>
      </c>
      <c r="AI151" s="9">
        <f t="shared" si="171"/>
        <v>0</v>
      </c>
      <c r="AJ151" s="9">
        <f t="shared" si="171"/>
        <v>0</v>
      </c>
      <c r="AK151" s="9">
        <f t="shared" si="171"/>
        <v>0</v>
      </c>
      <c r="AL151" s="9">
        <f t="shared" si="171"/>
        <v>0</v>
      </c>
      <c r="AM151" s="9">
        <f t="shared" si="171"/>
        <v>0</v>
      </c>
      <c r="AN151" s="9">
        <f t="shared" si="171"/>
        <v>0</v>
      </c>
      <c r="AO151" s="9">
        <f t="shared" si="171"/>
        <v>0</v>
      </c>
      <c r="AP151" s="9">
        <f t="shared" si="171"/>
        <v>0</v>
      </c>
      <c r="AQ151" s="9">
        <f t="shared" si="171"/>
        <v>0</v>
      </c>
      <c r="AR151" s="9">
        <f t="shared" si="171"/>
        <v>0</v>
      </c>
      <c r="AS151" s="9">
        <f t="shared" si="171"/>
        <v>0</v>
      </c>
      <c r="AT151" s="9">
        <f t="shared" si="171"/>
        <v>0</v>
      </c>
      <c r="AU151" s="9">
        <f t="shared" si="171"/>
        <v>0</v>
      </c>
      <c r="AV151" s="9">
        <f t="shared" si="171"/>
        <v>0</v>
      </c>
      <c r="AW151" s="9">
        <f t="shared" si="171"/>
        <v>0</v>
      </c>
      <c r="AX151" s="9">
        <f t="shared" si="171"/>
        <v>0</v>
      </c>
      <c r="AY151" s="9">
        <f t="shared" si="171"/>
        <v>0</v>
      </c>
      <c r="AZ151" s="9">
        <f t="shared" si="171"/>
        <v>0</v>
      </c>
      <c r="BA151" s="9">
        <f t="shared" si="171"/>
        <v>0</v>
      </c>
      <c r="BB151" s="9">
        <f t="shared" si="171"/>
        <v>0</v>
      </c>
      <c r="BC151" s="9">
        <f t="shared" si="171"/>
        <v>0</v>
      </c>
      <c r="BD151" s="9">
        <f t="shared" si="171"/>
        <v>0</v>
      </c>
      <c r="BE151" s="9">
        <f t="shared" si="171"/>
        <v>0</v>
      </c>
      <c r="BF151" s="9">
        <f t="shared" si="171"/>
        <v>0</v>
      </c>
      <c r="BG151" s="9">
        <f t="shared" si="171"/>
        <v>0</v>
      </c>
      <c r="BH151" s="9">
        <f t="shared" si="171"/>
        <v>0</v>
      </c>
      <c r="BI151" s="9">
        <f t="shared" si="171"/>
        <v>0</v>
      </c>
      <c r="BJ151" s="9">
        <f t="shared" si="171"/>
        <v>0</v>
      </c>
      <c r="BK151" s="9">
        <f t="shared" si="171"/>
        <v>0</v>
      </c>
      <c r="BL151" s="9">
        <f t="shared" si="171"/>
        <v>0</v>
      </c>
      <c r="BM151" s="9">
        <f t="shared" si="171"/>
        <v>0</v>
      </c>
      <c r="BN151" s="9">
        <f t="shared" si="171"/>
        <v>0</v>
      </c>
      <c r="BO151" s="9">
        <f t="shared" si="171"/>
        <v>0</v>
      </c>
      <c r="BP151" s="9">
        <f t="shared" si="171"/>
        <v>0</v>
      </c>
      <c r="BQ151" s="9">
        <f t="shared" si="171"/>
        <v>0</v>
      </c>
      <c r="BR151" s="9">
        <f t="shared" si="171"/>
        <v>0</v>
      </c>
      <c r="BS151" s="9">
        <f t="shared" si="171"/>
        <v>0</v>
      </c>
      <c r="BT151" s="9">
        <f t="shared" si="171"/>
        <v>0</v>
      </c>
      <c r="BU151" s="9">
        <f t="shared" si="171"/>
        <v>0</v>
      </c>
      <c r="BV151" s="9">
        <f t="shared" si="171"/>
        <v>0</v>
      </c>
      <c r="BW151" s="9">
        <f t="shared" si="171"/>
        <v>0</v>
      </c>
      <c r="BX151" s="9">
        <f t="shared" si="171"/>
        <v>0</v>
      </c>
      <c r="BY151" s="9">
        <f t="shared" si="171"/>
        <v>0</v>
      </c>
      <c r="BZ151" s="9">
        <f t="shared" si="171"/>
        <v>0</v>
      </c>
      <c r="CA151" s="9">
        <f t="shared" si="171"/>
        <v>0</v>
      </c>
      <c r="CB151" s="9">
        <f t="shared" si="171"/>
        <v>0</v>
      </c>
      <c r="CC151" s="9">
        <f t="shared" si="171"/>
        <v>0</v>
      </c>
      <c r="CD151" s="9">
        <f t="shared" si="171"/>
        <v>0</v>
      </c>
      <c r="CE151" s="9">
        <f t="shared" si="171"/>
        <v>0</v>
      </c>
      <c r="CF151" s="9">
        <f t="shared" si="171"/>
        <v>0</v>
      </c>
      <c r="CG151" s="9">
        <f t="shared" si="171"/>
        <v>0</v>
      </c>
      <c r="CH151" s="9">
        <f t="shared" ref="CH151:DB151" si="172">+(CH8=$P$10)*1</f>
        <v>0</v>
      </c>
      <c r="CI151" s="9">
        <f t="shared" si="172"/>
        <v>0</v>
      </c>
      <c r="CJ151" s="9">
        <f t="shared" si="172"/>
        <v>0</v>
      </c>
      <c r="CK151" s="9">
        <f t="shared" si="172"/>
        <v>0</v>
      </c>
      <c r="CL151" s="9">
        <f t="shared" si="172"/>
        <v>0</v>
      </c>
      <c r="CM151" s="9">
        <f t="shared" si="172"/>
        <v>0</v>
      </c>
      <c r="CN151" s="9">
        <f t="shared" si="172"/>
        <v>0</v>
      </c>
      <c r="CO151" s="9">
        <f t="shared" si="172"/>
        <v>0</v>
      </c>
      <c r="CP151" s="9">
        <f t="shared" si="172"/>
        <v>0</v>
      </c>
      <c r="CQ151" s="9">
        <f t="shared" si="172"/>
        <v>0</v>
      </c>
      <c r="CR151" s="9">
        <f t="shared" si="172"/>
        <v>0</v>
      </c>
      <c r="CS151" s="9">
        <f t="shared" si="172"/>
        <v>0</v>
      </c>
      <c r="CT151" s="9">
        <f t="shared" si="172"/>
        <v>0</v>
      </c>
      <c r="CU151" s="9">
        <f t="shared" si="172"/>
        <v>0</v>
      </c>
      <c r="CV151" s="9">
        <f t="shared" si="172"/>
        <v>0</v>
      </c>
      <c r="CW151" s="9">
        <f t="shared" si="172"/>
        <v>0</v>
      </c>
      <c r="CX151" s="9">
        <f t="shared" si="172"/>
        <v>0</v>
      </c>
      <c r="CY151" s="9">
        <f t="shared" si="172"/>
        <v>0</v>
      </c>
      <c r="CZ151" s="9">
        <f t="shared" si="172"/>
        <v>0</v>
      </c>
      <c r="DA151" s="9">
        <f t="shared" si="172"/>
        <v>0</v>
      </c>
      <c r="DB151" s="9">
        <f t="shared" si="172"/>
        <v>0</v>
      </c>
      <c r="DC151" s="21" t="s">
        <v>11</v>
      </c>
    </row>
    <row r="152" spans="2:107">
      <c r="C152" s="137"/>
      <c r="D152" s="25"/>
      <c r="E152" s="25"/>
      <c r="F152" s="214"/>
      <c r="T152" s="9" t="s">
        <v>258</v>
      </c>
      <c r="U152" s="48">
        <f t="shared" si="168"/>
        <v>5</v>
      </c>
      <c r="V152" s="9">
        <f t="shared" ref="V152:CG152" si="173">+(V8&gt;$N$10)*(V8&lt;$P$10)*1</f>
        <v>0</v>
      </c>
      <c r="W152" s="9">
        <f t="shared" si="173"/>
        <v>0</v>
      </c>
      <c r="X152" s="9">
        <f t="shared" si="173"/>
        <v>0</v>
      </c>
      <c r="Y152" s="9">
        <f t="shared" si="173"/>
        <v>1</v>
      </c>
      <c r="Z152" s="9">
        <f t="shared" si="173"/>
        <v>1</v>
      </c>
      <c r="AA152" s="9">
        <f t="shared" si="173"/>
        <v>1</v>
      </c>
      <c r="AB152" s="9">
        <f t="shared" si="173"/>
        <v>1</v>
      </c>
      <c r="AC152" s="9">
        <f t="shared" si="173"/>
        <v>1</v>
      </c>
      <c r="AD152" s="9">
        <f t="shared" si="173"/>
        <v>0</v>
      </c>
      <c r="AE152" s="9">
        <f t="shared" si="173"/>
        <v>0</v>
      </c>
      <c r="AF152" s="9">
        <f t="shared" si="173"/>
        <v>0</v>
      </c>
      <c r="AG152" s="9">
        <f t="shared" si="173"/>
        <v>0</v>
      </c>
      <c r="AH152" s="9">
        <f t="shared" si="173"/>
        <v>0</v>
      </c>
      <c r="AI152" s="9">
        <f t="shared" si="173"/>
        <v>0</v>
      </c>
      <c r="AJ152" s="9">
        <f t="shared" si="173"/>
        <v>0</v>
      </c>
      <c r="AK152" s="9">
        <f t="shared" si="173"/>
        <v>0</v>
      </c>
      <c r="AL152" s="9">
        <f t="shared" si="173"/>
        <v>0</v>
      </c>
      <c r="AM152" s="9">
        <f t="shared" si="173"/>
        <v>0</v>
      </c>
      <c r="AN152" s="9">
        <f t="shared" si="173"/>
        <v>0</v>
      </c>
      <c r="AO152" s="9">
        <f t="shared" si="173"/>
        <v>0</v>
      </c>
      <c r="AP152" s="9">
        <f t="shared" si="173"/>
        <v>0</v>
      </c>
      <c r="AQ152" s="9">
        <f t="shared" si="173"/>
        <v>0</v>
      </c>
      <c r="AR152" s="9">
        <f t="shared" si="173"/>
        <v>0</v>
      </c>
      <c r="AS152" s="9">
        <f t="shared" si="173"/>
        <v>0</v>
      </c>
      <c r="AT152" s="9">
        <f t="shared" si="173"/>
        <v>0</v>
      </c>
      <c r="AU152" s="9">
        <f t="shared" si="173"/>
        <v>0</v>
      </c>
      <c r="AV152" s="9">
        <f t="shared" si="173"/>
        <v>0</v>
      </c>
      <c r="AW152" s="9">
        <f t="shared" si="173"/>
        <v>0</v>
      </c>
      <c r="AX152" s="9">
        <f t="shared" si="173"/>
        <v>0</v>
      </c>
      <c r="AY152" s="9">
        <f t="shared" si="173"/>
        <v>0</v>
      </c>
      <c r="AZ152" s="9">
        <f t="shared" si="173"/>
        <v>0</v>
      </c>
      <c r="BA152" s="9">
        <f t="shared" si="173"/>
        <v>0</v>
      </c>
      <c r="BB152" s="9">
        <f t="shared" si="173"/>
        <v>0</v>
      </c>
      <c r="BC152" s="9">
        <f t="shared" si="173"/>
        <v>0</v>
      </c>
      <c r="BD152" s="9">
        <f t="shared" si="173"/>
        <v>0</v>
      </c>
      <c r="BE152" s="9">
        <f t="shared" si="173"/>
        <v>0</v>
      </c>
      <c r="BF152" s="9">
        <f t="shared" si="173"/>
        <v>0</v>
      </c>
      <c r="BG152" s="9">
        <f t="shared" si="173"/>
        <v>0</v>
      </c>
      <c r="BH152" s="9">
        <f t="shared" si="173"/>
        <v>0</v>
      </c>
      <c r="BI152" s="9">
        <f t="shared" si="173"/>
        <v>0</v>
      </c>
      <c r="BJ152" s="9">
        <f t="shared" si="173"/>
        <v>0</v>
      </c>
      <c r="BK152" s="9">
        <f t="shared" si="173"/>
        <v>0</v>
      </c>
      <c r="BL152" s="9">
        <f t="shared" si="173"/>
        <v>0</v>
      </c>
      <c r="BM152" s="9">
        <f t="shared" si="173"/>
        <v>0</v>
      </c>
      <c r="BN152" s="9">
        <f t="shared" si="173"/>
        <v>0</v>
      </c>
      <c r="BO152" s="9">
        <f t="shared" si="173"/>
        <v>0</v>
      </c>
      <c r="BP152" s="9">
        <f t="shared" si="173"/>
        <v>0</v>
      </c>
      <c r="BQ152" s="9">
        <f t="shared" si="173"/>
        <v>0</v>
      </c>
      <c r="BR152" s="9">
        <f t="shared" si="173"/>
        <v>0</v>
      </c>
      <c r="BS152" s="9">
        <f t="shared" si="173"/>
        <v>0</v>
      </c>
      <c r="BT152" s="9">
        <f t="shared" si="173"/>
        <v>0</v>
      </c>
      <c r="BU152" s="9">
        <f t="shared" si="173"/>
        <v>0</v>
      </c>
      <c r="BV152" s="9">
        <f t="shared" si="173"/>
        <v>0</v>
      </c>
      <c r="BW152" s="9">
        <f t="shared" si="173"/>
        <v>0</v>
      </c>
      <c r="BX152" s="9">
        <f t="shared" si="173"/>
        <v>0</v>
      </c>
      <c r="BY152" s="9">
        <f t="shared" si="173"/>
        <v>0</v>
      </c>
      <c r="BZ152" s="9">
        <f t="shared" si="173"/>
        <v>0</v>
      </c>
      <c r="CA152" s="9">
        <f t="shared" si="173"/>
        <v>0</v>
      </c>
      <c r="CB152" s="9">
        <f t="shared" si="173"/>
        <v>0</v>
      </c>
      <c r="CC152" s="9">
        <f t="shared" si="173"/>
        <v>0</v>
      </c>
      <c r="CD152" s="9">
        <f t="shared" si="173"/>
        <v>0</v>
      </c>
      <c r="CE152" s="9">
        <f t="shared" si="173"/>
        <v>0</v>
      </c>
      <c r="CF152" s="9">
        <f t="shared" si="173"/>
        <v>0</v>
      </c>
      <c r="CG152" s="9">
        <f t="shared" si="173"/>
        <v>0</v>
      </c>
      <c r="CH152" s="9">
        <f t="shared" ref="CH152:DB152" si="174">+(CH8&gt;$N$10)*(CH8&lt;$P$10)*1</f>
        <v>0</v>
      </c>
      <c r="CI152" s="9">
        <f t="shared" si="174"/>
        <v>0</v>
      </c>
      <c r="CJ152" s="9">
        <f t="shared" si="174"/>
        <v>0</v>
      </c>
      <c r="CK152" s="9">
        <f t="shared" si="174"/>
        <v>0</v>
      </c>
      <c r="CL152" s="9">
        <f t="shared" si="174"/>
        <v>0</v>
      </c>
      <c r="CM152" s="9">
        <f t="shared" si="174"/>
        <v>0</v>
      </c>
      <c r="CN152" s="9">
        <f t="shared" si="174"/>
        <v>0</v>
      </c>
      <c r="CO152" s="9">
        <f t="shared" si="174"/>
        <v>0</v>
      </c>
      <c r="CP152" s="9">
        <f t="shared" si="174"/>
        <v>0</v>
      </c>
      <c r="CQ152" s="9">
        <f t="shared" si="174"/>
        <v>0</v>
      </c>
      <c r="CR152" s="9">
        <f t="shared" si="174"/>
        <v>0</v>
      </c>
      <c r="CS152" s="9">
        <f t="shared" si="174"/>
        <v>0</v>
      </c>
      <c r="CT152" s="9">
        <f t="shared" si="174"/>
        <v>0</v>
      </c>
      <c r="CU152" s="9">
        <f t="shared" si="174"/>
        <v>0</v>
      </c>
      <c r="CV152" s="9">
        <f t="shared" si="174"/>
        <v>0</v>
      </c>
      <c r="CW152" s="9">
        <f t="shared" si="174"/>
        <v>0</v>
      </c>
      <c r="CX152" s="9">
        <f t="shared" si="174"/>
        <v>0</v>
      </c>
      <c r="CY152" s="9">
        <f t="shared" si="174"/>
        <v>0</v>
      </c>
      <c r="CZ152" s="9">
        <f t="shared" si="174"/>
        <v>0</v>
      </c>
      <c r="DA152" s="9">
        <f t="shared" si="174"/>
        <v>0</v>
      </c>
      <c r="DB152" s="9">
        <f t="shared" si="174"/>
        <v>0</v>
      </c>
      <c r="DC152" s="21" t="s">
        <v>11</v>
      </c>
    </row>
    <row r="153" spans="2:107">
      <c r="C153" s="137"/>
      <c r="D153" s="137"/>
      <c r="E153" s="25"/>
      <c r="T153" s="9" t="s">
        <v>259</v>
      </c>
      <c r="U153" s="48">
        <f t="shared" si="168"/>
        <v>0</v>
      </c>
      <c r="V153" s="9">
        <f t="shared" ref="V153:CG153" si="175">+(V8=$P$10)*$N$11</f>
        <v>0</v>
      </c>
      <c r="W153" s="9">
        <f t="shared" si="175"/>
        <v>0</v>
      </c>
      <c r="X153" s="9">
        <f t="shared" si="175"/>
        <v>0</v>
      </c>
      <c r="Y153" s="9">
        <f t="shared" si="175"/>
        <v>0</v>
      </c>
      <c r="Z153" s="9">
        <f t="shared" si="175"/>
        <v>0</v>
      </c>
      <c r="AA153" s="9">
        <f t="shared" si="175"/>
        <v>0</v>
      </c>
      <c r="AB153" s="9">
        <f t="shared" si="175"/>
        <v>0</v>
      </c>
      <c r="AC153" s="9">
        <f t="shared" si="175"/>
        <v>0</v>
      </c>
      <c r="AD153" s="9">
        <f t="shared" si="175"/>
        <v>0</v>
      </c>
      <c r="AE153" s="9">
        <f t="shared" si="175"/>
        <v>0</v>
      </c>
      <c r="AF153" s="9">
        <f t="shared" si="175"/>
        <v>0</v>
      </c>
      <c r="AG153" s="9">
        <f t="shared" si="175"/>
        <v>0</v>
      </c>
      <c r="AH153" s="9">
        <f t="shared" si="175"/>
        <v>0</v>
      </c>
      <c r="AI153" s="9">
        <f t="shared" si="175"/>
        <v>0</v>
      </c>
      <c r="AJ153" s="9">
        <f t="shared" si="175"/>
        <v>0</v>
      </c>
      <c r="AK153" s="9">
        <f t="shared" si="175"/>
        <v>0</v>
      </c>
      <c r="AL153" s="9">
        <f t="shared" si="175"/>
        <v>0</v>
      </c>
      <c r="AM153" s="9">
        <f t="shared" si="175"/>
        <v>0</v>
      </c>
      <c r="AN153" s="9">
        <f t="shared" si="175"/>
        <v>0</v>
      </c>
      <c r="AO153" s="9">
        <f t="shared" si="175"/>
        <v>0</v>
      </c>
      <c r="AP153" s="9">
        <f t="shared" si="175"/>
        <v>0</v>
      </c>
      <c r="AQ153" s="9">
        <f t="shared" si="175"/>
        <v>0</v>
      </c>
      <c r="AR153" s="9">
        <f t="shared" si="175"/>
        <v>0</v>
      </c>
      <c r="AS153" s="9">
        <f t="shared" si="175"/>
        <v>0</v>
      </c>
      <c r="AT153" s="9">
        <f t="shared" si="175"/>
        <v>0</v>
      </c>
      <c r="AU153" s="9">
        <f t="shared" si="175"/>
        <v>0</v>
      </c>
      <c r="AV153" s="9">
        <f t="shared" si="175"/>
        <v>0</v>
      </c>
      <c r="AW153" s="9">
        <f t="shared" si="175"/>
        <v>0</v>
      </c>
      <c r="AX153" s="9">
        <f t="shared" si="175"/>
        <v>0</v>
      </c>
      <c r="AY153" s="9">
        <f t="shared" si="175"/>
        <v>0</v>
      </c>
      <c r="AZ153" s="9">
        <f t="shared" si="175"/>
        <v>0</v>
      </c>
      <c r="BA153" s="9">
        <f t="shared" si="175"/>
        <v>0</v>
      </c>
      <c r="BB153" s="9">
        <f t="shared" si="175"/>
        <v>0</v>
      </c>
      <c r="BC153" s="9">
        <f t="shared" si="175"/>
        <v>0</v>
      </c>
      <c r="BD153" s="9">
        <f t="shared" si="175"/>
        <v>0</v>
      </c>
      <c r="BE153" s="9">
        <f t="shared" si="175"/>
        <v>0</v>
      </c>
      <c r="BF153" s="9">
        <f t="shared" si="175"/>
        <v>0</v>
      </c>
      <c r="BG153" s="9">
        <f t="shared" si="175"/>
        <v>0</v>
      </c>
      <c r="BH153" s="9">
        <f t="shared" si="175"/>
        <v>0</v>
      </c>
      <c r="BI153" s="9">
        <f t="shared" si="175"/>
        <v>0</v>
      </c>
      <c r="BJ153" s="9">
        <f t="shared" si="175"/>
        <v>0</v>
      </c>
      <c r="BK153" s="9">
        <f t="shared" si="175"/>
        <v>0</v>
      </c>
      <c r="BL153" s="9">
        <f t="shared" si="175"/>
        <v>0</v>
      </c>
      <c r="BM153" s="9">
        <f t="shared" si="175"/>
        <v>0</v>
      </c>
      <c r="BN153" s="9">
        <f t="shared" si="175"/>
        <v>0</v>
      </c>
      <c r="BO153" s="9">
        <f t="shared" si="175"/>
        <v>0</v>
      </c>
      <c r="BP153" s="9">
        <f t="shared" si="175"/>
        <v>0</v>
      </c>
      <c r="BQ153" s="9">
        <f t="shared" si="175"/>
        <v>0</v>
      </c>
      <c r="BR153" s="9">
        <f t="shared" si="175"/>
        <v>0</v>
      </c>
      <c r="BS153" s="9">
        <f t="shared" si="175"/>
        <v>0</v>
      </c>
      <c r="BT153" s="9">
        <f t="shared" si="175"/>
        <v>0</v>
      </c>
      <c r="BU153" s="9">
        <f t="shared" si="175"/>
        <v>0</v>
      </c>
      <c r="BV153" s="9">
        <f t="shared" si="175"/>
        <v>0</v>
      </c>
      <c r="BW153" s="9">
        <f t="shared" si="175"/>
        <v>0</v>
      </c>
      <c r="BX153" s="9">
        <f t="shared" si="175"/>
        <v>0</v>
      </c>
      <c r="BY153" s="9">
        <f t="shared" si="175"/>
        <v>0</v>
      </c>
      <c r="BZ153" s="9">
        <f t="shared" si="175"/>
        <v>0</v>
      </c>
      <c r="CA153" s="9">
        <f t="shared" si="175"/>
        <v>0</v>
      </c>
      <c r="CB153" s="9">
        <f t="shared" si="175"/>
        <v>0</v>
      </c>
      <c r="CC153" s="9">
        <f t="shared" si="175"/>
        <v>0</v>
      </c>
      <c r="CD153" s="9">
        <f t="shared" si="175"/>
        <v>0</v>
      </c>
      <c r="CE153" s="9">
        <f t="shared" si="175"/>
        <v>0</v>
      </c>
      <c r="CF153" s="9">
        <f t="shared" si="175"/>
        <v>0</v>
      </c>
      <c r="CG153" s="9">
        <f t="shared" si="175"/>
        <v>0</v>
      </c>
      <c r="CH153" s="9">
        <f t="shared" ref="CH153:DB153" si="176">+(CH8=$P$10)*$N$11</f>
        <v>0</v>
      </c>
      <c r="CI153" s="9">
        <f t="shared" si="176"/>
        <v>0</v>
      </c>
      <c r="CJ153" s="9">
        <f t="shared" si="176"/>
        <v>0</v>
      </c>
      <c r="CK153" s="9">
        <f t="shared" si="176"/>
        <v>0</v>
      </c>
      <c r="CL153" s="9">
        <f t="shared" si="176"/>
        <v>0</v>
      </c>
      <c r="CM153" s="9">
        <f t="shared" si="176"/>
        <v>0</v>
      </c>
      <c r="CN153" s="9">
        <f t="shared" si="176"/>
        <v>0</v>
      </c>
      <c r="CO153" s="9">
        <f t="shared" si="176"/>
        <v>0</v>
      </c>
      <c r="CP153" s="9">
        <f t="shared" si="176"/>
        <v>0</v>
      </c>
      <c r="CQ153" s="9">
        <f t="shared" si="176"/>
        <v>0</v>
      </c>
      <c r="CR153" s="9">
        <f t="shared" si="176"/>
        <v>0</v>
      </c>
      <c r="CS153" s="9">
        <f t="shared" si="176"/>
        <v>0</v>
      </c>
      <c r="CT153" s="9">
        <f t="shared" si="176"/>
        <v>0</v>
      </c>
      <c r="CU153" s="9">
        <f t="shared" si="176"/>
        <v>0</v>
      </c>
      <c r="CV153" s="9">
        <f t="shared" si="176"/>
        <v>0</v>
      </c>
      <c r="CW153" s="9">
        <f t="shared" si="176"/>
        <v>0</v>
      </c>
      <c r="CX153" s="9">
        <f t="shared" si="176"/>
        <v>0</v>
      </c>
      <c r="CY153" s="9">
        <f t="shared" si="176"/>
        <v>0</v>
      </c>
      <c r="CZ153" s="9">
        <f t="shared" si="176"/>
        <v>0</v>
      </c>
      <c r="DA153" s="9">
        <f t="shared" si="176"/>
        <v>0</v>
      </c>
      <c r="DB153" s="9">
        <f t="shared" si="176"/>
        <v>0</v>
      </c>
      <c r="DC153" s="21" t="s">
        <v>11</v>
      </c>
    </row>
    <row r="154" spans="2:107">
      <c r="C154" s="25"/>
      <c r="D154" s="25"/>
      <c r="F154" s="214"/>
      <c r="T154" s="9" t="s">
        <v>260</v>
      </c>
      <c r="U154" s="48">
        <f t="shared" si="168"/>
        <v>7</v>
      </c>
      <c r="V154" s="9">
        <f t="shared" ref="V154:CG154" si="177">+(V8&gt;=$P$115)*(V8&lt;=$P$122)*1</f>
        <v>0</v>
      </c>
      <c r="W154" s="9">
        <f t="shared" si="177"/>
        <v>0</v>
      </c>
      <c r="X154" s="9">
        <f t="shared" si="177"/>
        <v>1</v>
      </c>
      <c r="Y154" s="9">
        <f t="shared" si="177"/>
        <v>1</v>
      </c>
      <c r="Z154" s="9">
        <f t="shared" si="177"/>
        <v>1</v>
      </c>
      <c r="AA154" s="9">
        <f t="shared" si="177"/>
        <v>1</v>
      </c>
      <c r="AB154" s="9">
        <f t="shared" si="177"/>
        <v>1</v>
      </c>
      <c r="AC154" s="9">
        <f t="shared" si="177"/>
        <v>1</v>
      </c>
      <c r="AD154" s="9">
        <f t="shared" si="177"/>
        <v>1</v>
      </c>
      <c r="AE154" s="9">
        <f t="shared" si="177"/>
        <v>0</v>
      </c>
      <c r="AF154" s="9">
        <f t="shared" si="177"/>
        <v>0</v>
      </c>
      <c r="AG154" s="9">
        <f t="shared" si="177"/>
        <v>0</v>
      </c>
      <c r="AH154" s="9">
        <f t="shared" si="177"/>
        <v>0</v>
      </c>
      <c r="AI154" s="9">
        <f t="shared" si="177"/>
        <v>0</v>
      </c>
      <c r="AJ154" s="9">
        <f t="shared" si="177"/>
        <v>0</v>
      </c>
      <c r="AK154" s="9">
        <f t="shared" si="177"/>
        <v>0</v>
      </c>
      <c r="AL154" s="9">
        <f t="shared" si="177"/>
        <v>0</v>
      </c>
      <c r="AM154" s="9">
        <f t="shared" si="177"/>
        <v>0</v>
      </c>
      <c r="AN154" s="9">
        <f t="shared" si="177"/>
        <v>0</v>
      </c>
      <c r="AO154" s="9">
        <f t="shared" si="177"/>
        <v>0</v>
      </c>
      <c r="AP154" s="9">
        <f t="shared" si="177"/>
        <v>0</v>
      </c>
      <c r="AQ154" s="9">
        <f t="shared" si="177"/>
        <v>0</v>
      </c>
      <c r="AR154" s="9">
        <f t="shared" si="177"/>
        <v>0</v>
      </c>
      <c r="AS154" s="9">
        <f t="shared" si="177"/>
        <v>0</v>
      </c>
      <c r="AT154" s="9">
        <f t="shared" si="177"/>
        <v>0</v>
      </c>
      <c r="AU154" s="9">
        <f t="shared" si="177"/>
        <v>0</v>
      </c>
      <c r="AV154" s="9">
        <f t="shared" si="177"/>
        <v>0</v>
      </c>
      <c r="AW154" s="9">
        <f t="shared" si="177"/>
        <v>0</v>
      </c>
      <c r="AX154" s="9">
        <f t="shared" si="177"/>
        <v>0</v>
      </c>
      <c r="AY154" s="9">
        <f t="shared" si="177"/>
        <v>0</v>
      </c>
      <c r="AZ154" s="9">
        <f t="shared" si="177"/>
        <v>0</v>
      </c>
      <c r="BA154" s="9">
        <f t="shared" si="177"/>
        <v>0</v>
      </c>
      <c r="BB154" s="9">
        <f t="shared" si="177"/>
        <v>0</v>
      </c>
      <c r="BC154" s="9">
        <f t="shared" si="177"/>
        <v>0</v>
      </c>
      <c r="BD154" s="9">
        <f t="shared" si="177"/>
        <v>0</v>
      </c>
      <c r="BE154" s="9">
        <f t="shared" si="177"/>
        <v>0</v>
      </c>
      <c r="BF154" s="9">
        <f t="shared" si="177"/>
        <v>0</v>
      </c>
      <c r="BG154" s="9">
        <f t="shared" si="177"/>
        <v>0</v>
      </c>
      <c r="BH154" s="9">
        <f t="shared" si="177"/>
        <v>0</v>
      </c>
      <c r="BI154" s="9">
        <f t="shared" si="177"/>
        <v>0</v>
      </c>
      <c r="BJ154" s="9">
        <f t="shared" si="177"/>
        <v>0</v>
      </c>
      <c r="BK154" s="9">
        <f t="shared" si="177"/>
        <v>0</v>
      </c>
      <c r="BL154" s="9">
        <f t="shared" si="177"/>
        <v>0</v>
      </c>
      <c r="BM154" s="9">
        <f t="shared" si="177"/>
        <v>0</v>
      </c>
      <c r="BN154" s="9">
        <f t="shared" si="177"/>
        <v>0</v>
      </c>
      <c r="BO154" s="9">
        <f t="shared" si="177"/>
        <v>0</v>
      </c>
      <c r="BP154" s="9">
        <f t="shared" si="177"/>
        <v>0</v>
      </c>
      <c r="BQ154" s="9">
        <f t="shared" si="177"/>
        <v>0</v>
      </c>
      <c r="BR154" s="9">
        <f t="shared" si="177"/>
        <v>0</v>
      </c>
      <c r="BS154" s="9">
        <f t="shared" si="177"/>
        <v>0</v>
      </c>
      <c r="BT154" s="9">
        <f t="shared" si="177"/>
        <v>0</v>
      </c>
      <c r="BU154" s="9">
        <f t="shared" si="177"/>
        <v>0</v>
      </c>
      <c r="BV154" s="9">
        <f t="shared" si="177"/>
        <v>0</v>
      </c>
      <c r="BW154" s="9">
        <f t="shared" si="177"/>
        <v>0</v>
      </c>
      <c r="BX154" s="9">
        <f t="shared" si="177"/>
        <v>0</v>
      </c>
      <c r="BY154" s="9">
        <f t="shared" si="177"/>
        <v>0</v>
      </c>
      <c r="BZ154" s="9">
        <f t="shared" si="177"/>
        <v>0</v>
      </c>
      <c r="CA154" s="9">
        <f t="shared" si="177"/>
        <v>0</v>
      </c>
      <c r="CB154" s="9">
        <f t="shared" si="177"/>
        <v>0</v>
      </c>
      <c r="CC154" s="9">
        <f t="shared" si="177"/>
        <v>0</v>
      </c>
      <c r="CD154" s="9">
        <f t="shared" si="177"/>
        <v>0</v>
      </c>
      <c r="CE154" s="9">
        <f t="shared" si="177"/>
        <v>0</v>
      </c>
      <c r="CF154" s="9">
        <f t="shared" si="177"/>
        <v>0</v>
      </c>
      <c r="CG154" s="9">
        <f t="shared" si="177"/>
        <v>0</v>
      </c>
      <c r="CH154" s="9">
        <f t="shared" ref="CH154:DB154" si="178">+(CH8&gt;=$P$115)*(CH8&lt;=$P$122)*1</f>
        <v>0</v>
      </c>
      <c r="CI154" s="9">
        <f t="shared" si="178"/>
        <v>0</v>
      </c>
      <c r="CJ154" s="9">
        <f t="shared" si="178"/>
        <v>0</v>
      </c>
      <c r="CK154" s="9">
        <f t="shared" si="178"/>
        <v>0</v>
      </c>
      <c r="CL154" s="9">
        <f t="shared" si="178"/>
        <v>0</v>
      </c>
      <c r="CM154" s="9">
        <f t="shared" si="178"/>
        <v>0</v>
      </c>
      <c r="CN154" s="9">
        <f t="shared" si="178"/>
        <v>0</v>
      </c>
      <c r="CO154" s="9">
        <f t="shared" si="178"/>
        <v>0</v>
      </c>
      <c r="CP154" s="9">
        <f t="shared" si="178"/>
        <v>0</v>
      </c>
      <c r="CQ154" s="9">
        <f t="shared" si="178"/>
        <v>0</v>
      </c>
      <c r="CR154" s="9">
        <f t="shared" si="178"/>
        <v>0</v>
      </c>
      <c r="CS154" s="9">
        <f t="shared" si="178"/>
        <v>0</v>
      </c>
      <c r="CT154" s="9">
        <f t="shared" si="178"/>
        <v>0</v>
      </c>
      <c r="CU154" s="9">
        <f t="shared" si="178"/>
        <v>0</v>
      </c>
      <c r="CV154" s="9">
        <f t="shared" si="178"/>
        <v>0</v>
      </c>
      <c r="CW154" s="9">
        <f t="shared" si="178"/>
        <v>0</v>
      </c>
      <c r="CX154" s="9">
        <f t="shared" si="178"/>
        <v>0</v>
      </c>
      <c r="CY154" s="9">
        <f t="shared" si="178"/>
        <v>0</v>
      </c>
      <c r="CZ154" s="9">
        <f t="shared" si="178"/>
        <v>0</v>
      </c>
      <c r="DA154" s="9">
        <f t="shared" si="178"/>
        <v>0</v>
      </c>
      <c r="DB154" s="9">
        <f t="shared" si="178"/>
        <v>0</v>
      </c>
      <c r="DC154" s="21" t="s">
        <v>11</v>
      </c>
    </row>
    <row r="155" spans="2:107">
      <c r="B155" s="68"/>
      <c r="C155" s="364"/>
      <c r="D155" s="364"/>
      <c r="E155" s="364"/>
      <c r="F155" s="365"/>
      <c r="T155" s="9" t="s">
        <v>261</v>
      </c>
      <c r="U155" s="48">
        <f t="shared" si="168"/>
        <v>9</v>
      </c>
      <c r="V155" s="9">
        <f t="shared" ref="V155:CG155" si="179">+(V8&gt;=$M$111)*(V8&lt;=$P$122)*1</f>
        <v>1</v>
      </c>
      <c r="W155" s="9">
        <f t="shared" si="179"/>
        <v>1</v>
      </c>
      <c r="X155" s="9">
        <f t="shared" si="179"/>
        <v>1</v>
      </c>
      <c r="Y155" s="9">
        <f t="shared" si="179"/>
        <v>1</v>
      </c>
      <c r="Z155" s="9">
        <f t="shared" si="179"/>
        <v>1</v>
      </c>
      <c r="AA155" s="9">
        <f t="shared" si="179"/>
        <v>1</v>
      </c>
      <c r="AB155" s="9">
        <f t="shared" si="179"/>
        <v>1</v>
      </c>
      <c r="AC155" s="9">
        <f t="shared" si="179"/>
        <v>1</v>
      </c>
      <c r="AD155" s="9">
        <f t="shared" si="179"/>
        <v>1</v>
      </c>
      <c r="AE155" s="9">
        <f t="shared" si="179"/>
        <v>0</v>
      </c>
      <c r="AF155" s="9">
        <f t="shared" si="179"/>
        <v>0</v>
      </c>
      <c r="AG155" s="9">
        <f t="shared" si="179"/>
        <v>0</v>
      </c>
      <c r="AH155" s="9">
        <f t="shared" si="179"/>
        <v>0</v>
      </c>
      <c r="AI155" s="9">
        <f t="shared" si="179"/>
        <v>0</v>
      </c>
      <c r="AJ155" s="9">
        <f t="shared" si="179"/>
        <v>0</v>
      </c>
      <c r="AK155" s="9">
        <f t="shared" si="179"/>
        <v>0</v>
      </c>
      <c r="AL155" s="9">
        <f t="shared" si="179"/>
        <v>0</v>
      </c>
      <c r="AM155" s="9">
        <f t="shared" si="179"/>
        <v>0</v>
      </c>
      <c r="AN155" s="9">
        <f t="shared" si="179"/>
        <v>0</v>
      </c>
      <c r="AO155" s="9">
        <f t="shared" si="179"/>
        <v>0</v>
      </c>
      <c r="AP155" s="9">
        <f t="shared" si="179"/>
        <v>0</v>
      </c>
      <c r="AQ155" s="9">
        <f t="shared" si="179"/>
        <v>0</v>
      </c>
      <c r="AR155" s="9">
        <f t="shared" si="179"/>
        <v>0</v>
      </c>
      <c r="AS155" s="9">
        <f t="shared" si="179"/>
        <v>0</v>
      </c>
      <c r="AT155" s="9">
        <f t="shared" si="179"/>
        <v>0</v>
      </c>
      <c r="AU155" s="9">
        <f t="shared" si="179"/>
        <v>0</v>
      </c>
      <c r="AV155" s="9">
        <f t="shared" si="179"/>
        <v>0</v>
      </c>
      <c r="AW155" s="9">
        <f t="shared" si="179"/>
        <v>0</v>
      </c>
      <c r="AX155" s="9">
        <f t="shared" si="179"/>
        <v>0</v>
      </c>
      <c r="AY155" s="9">
        <f t="shared" si="179"/>
        <v>0</v>
      </c>
      <c r="AZ155" s="9">
        <f t="shared" si="179"/>
        <v>0</v>
      </c>
      <c r="BA155" s="9">
        <f t="shared" si="179"/>
        <v>0</v>
      </c>
      <c r="BB155" s="9">
        <f t="shared" si="179"/>
        <v>0</v>
      </c>
      <c r="BC155" s="9">
        <f t="shared" si="179"/>
        <v>0</v>
      </c>
      <c r="BD155" s="9">
        <f t="shared" si="179"/>
        <v>0</v>
      </c>
      <c r="BE155" s="9">
        <f t="shared" si="179"/>
        <v>0</v>
      </c>
      <c r="BF155" s="9">
        <f t="shared" si="179"/>
        <v>0</v>
      </c>
      <c r="BG155" s="9">
        <f t="shared" si="179"/>
        <v>0</v>
      </c>
      <c r="BH155" s="9">
        <f t="shared" si="179"/>
        <v>0</v>
      </c>
      <c r="BI155" s="9">
        <f t="shared" si="179"/>
        <v>0</v>
      </c>
      <c r="BJ155" s="9">
        <f t="shared" si="179"/>
        <v>0</v>
      </c>
      <c r="BK155" s="9">
        <f t="shared" si="179"/>
        <v>0</v>
      </c>
      <c r="BL155" s="9">
        <f t="shared" si="179"/>
        <v>0</v>
      </c>
      <c r="BM155" s="9">
        <f t="shared" si="179"/>
        <v>0</v>
      </c>
      <c r="BN155" s="9">
        <f t="shared" si="179"/>
        <v>0</v>
      </c>
      <c r="BO155" s="9">
        <f t="shared" si="179"/>
        <v>0</v>
      </c>
      <c r="BP155" s="9">
        <f t="shared" si="179"/>
        <v>0</v>
      </c>
      <c r="BQ155" s="9">
        <f t="shared" si="179"/>
        <v>0</v>
      </c>
      <c r="BR155" s="9">
        <f t="shared" si="179"/>
        <v>0</v>
      </c>
      <c r="BS155" s="9">
        <f t="shared" si="179"/>
        <v>0</v>
      </c>
      <c r="BT155" s="9">
        <f t="shared" si="179"/>
        <v>0</v>
      </c>
      <c r="BU155" s="9">
        <f t="shared" si="179"/>
        <v>0</v>
      </c>
      <c r="BV155" s="9">
        <f t="shared" si="179"/>
        <v>0</v>
      </c>
      <c r="BW155" s="9">
        <f t="shared" si="179"/>
        <v>0</v>
      </c>
      <c r="BX155" s="9">
        <f t="shared" si="179"/>
        <v>0</v>
      </c>
      <c r="BY155" s="9">
        <f t="shared" si="179"/>
        <v>0</v>
      </c>
      <c r="BZ155" s="9">
        <f t="shared" si="179"/>
        <v>0</v>
      </c>
      <c r="CA155" s="9">
        <f t="shared" si="179"/>
        <v>0</v>
      </c>
      <c r="CB155" s="9">
        <f t="shared" si="179"/>
        <v>0</v>
      </c>
      <c r="CC155" s="9">
        <f t="shared" si="179"/>
        <v>0</v>
      </c>
      <c r="CD155" s="9">
        <f t="shared" si="179"/>
        <v>0</v>
      </c>
      <c r="CE155" s="9">
        <f t="shared" si="179"/>
        <v>0</v>
      </c>
      <c r="CF155" s="9">
        <f t="shared" si="179"/>
        <v>0</v>
      </c>
      <c r="CG155" s="9">
        <f t="shared" si="179"/>
        <v>0</v>
      </c>
      <c r="CH155" s="9">
        <f t="shared" ref="CH155:DB155" si="180">+(CH8&gt;=$M$111)*(CH8&lt;=$P$122)*1</f>
        <v>0</v>
      </c>
      <c r="CI155" s="9">
        <f t="shared" si="180"/>
        <v>0</v>
      </c>
      <c r="CJ155" s="9">
        <f t="shared" si="180"/>
        <v>0</v>
      </c>
      <c r="CK155" s="9">
        <f t="shared" si="180"/>
        <v>0</v>
      </c>
      <c r="CL155" s="9">
        <f t="shared" si="180"/>
        <v>0</v>
      </c>
      <c r="CM155" s="9">
        <f t="shared" si="180"/>
        <v>0</v>
      </c>
      <c r="CN155" s="9">
        <f t="shared" si="180"/>
        <v>0</v>
      </c>
      <c r="CO155" s="9">
        <f t="shared" si="180"/>
        <v>0</v>
      </c>
      <c r="CP155" s="9">
        <f t="shared" si="180"/>
        <v>0</v>
      </c>
      <c r="CQ155" s="9">
        <f t="shared" si="180"/>
        <v>0</v>
      </c>
      <c r="CR155" s="9">
        <f t="shared" si="180"/>
        <v>0</v>
      </c>
      <c r="CS155" s="9">
        <f t="shared" si="180"/>
        <v>0</v>
      </c>
      <c r="CT155" s="9">
        <f t="shared" si="180"/>
        <v>0</v>
      </c>
      <c r="CU155" s="9">
        <f t="shared" si="180"/>
        <v>0</v>
      </c>
      <c r="CV155" s="9">
        <f t="shared" si="180"/>
        <v>0</v>
      </c>
      <c r="CW155" s="9">
        <f t="shared" si="180"/>
        <v>0</v>
      </c>
      <c r="CX155" s="9">
        <f t="shared" si="180"/>
        <v>0</v>
      </c>
      <c r="CY155" s="9">
        <f t="shared" si="180"/>
        <v>0</v>
      </c>
      <c r="CZ155" s="9">
        <f t="shared" si="180"/>
        <v>0</v>
      </c>
      <c r="DA155" s="9">
        <f t="shared" si="180"/>
        <v>0</v>
      </c>
      <c r="DB155" s="9">
        <f t="shared" si="180"/>
        <v>0</v>
      </c>
      <c r="DC155" s="21" t="s">
        <v>11</v>
      </c>
    </row>
    <row r="156" spans="2:107">
      <c r="B156" s="68"/>
      <c r="D156" s="100"/>
      <c r="E156" s="357"/>
      <c r="DC156" s="21" t="s">
        <v>11</v>
      </c>
    </row>
    <row r="157" spans="2:107">
      <c r="T157" s="53" t="s">
        <v>72</v>
      </c>
      <c r="DC157" s="21" t="s">
        <v>11</v>
      </c>
    </row>
    <row r="158" spans="2:107">
      <c r="T158" s="9" t="s">
        <v>262</v>
      </c>
    </row>
    <row r="159" spans="2:107">
      <c r="T159" s="9" t="s">
        <v>72</v>
      </c>
    </row>
    <row r="160" spans="2:107">
      <c r="T160" s="9" t="s">
        <v>263</v>
      </c>
    </row>
    <row r="162" spans="3:106">
      <c r="T162" s="114"/>
      <c r="U162" s="358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</row>
    <row r="175" spans="3:106">
      <c r="C175" s="137"/>
    </row>
    <row r="176" spans="3:106">
      <c r="C176" s="347"/>
    </row>
    <row r="177" spans="3:3">
      <c r="C177" s="347"/>
    </row>
  </sheetData>
  <sheetProtection algorithmName="SHA-512" hashValue="S+rOBhRC1ioSrxeMHjE59v1EB7VyEvlvyMRx4M4pZEkYGJfiHYgoO2WJh4fKqUzWuCflvcFD1ZAo8USTjjJnhQ==" saltValue="Wq6+sMKuFzcKZMFBHWFk8w==" spinCount="100000" sheet="1" objects="1" scenarios="1"/>
  <mergeCells count="10">
    <mergeCell ref="L90:P90"/>
    <mergeCell ref="I92:I97"/>
    <mergeCell ref="L99:P99"/>
    <mergeCell ref="I101:I106"/>
    <mergeCell ref="I55:I60"/>
    <mergeCell ref="J65:J66"/>
    <mergeCell ref="L70:P70"/>
    <mergeCell ref="I72:I77"/>
    <mergeCell ref="L80:P80"/>
    <mergeCell ref="I82:I87"/>
  </mergeCells>
  <dataValidations count="1">
    <dataValidation type="list" allowBlank="1" showInputMessage="1" showErrorMessage="1" sqref="C129" xr:uid="{4F2608D8-AF46-4683-8B1E-29BD29226E39}">
      <formula1>$B$144:$B$146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2F114-466F-4924-93A5-76AA1F1F5E2A}">
  <dimension ref="B2:L36"/>
  <sheetViews>
    <sheetView workbookViewId="0">
      <selection activeCell="B32" sqref="B32"/>
    </sheetView>
  </sheetViews>
  <sheetFormatPr baseColWidth="10" defaultRowHeight="15"/>
  <cols>
    <col min="2" max="2" width="25.140625" bestFit="1" customWidth="1"/>
    <col min="3" max="3" width="10.42578125" bestFit="1" customWidth="1"/>
  </cols>
  <sheetData>
    <row r="2" spans="2:12">
      <c r="B2" s="10" t="s">
        <v>10</v>
      </c>
      <c r="C2" s="11"/>
      <c r="D2" s="19">
        <v>45931</v>
      </c>
      <c r="E2" s="20">
        <v>45961</v>
      </c>
      <c r="F2" s="20">
        <v>45991</v>
      </c>
      <c r="G2" s="20">
        <v>46022</v>
      </c>
      <c r="H2" s="20">
        <v>46053</v>
      </c>
      <c r="I2" s="20">
        <v>46081</v>
      </c>
      <c r="J2" s="20">
        <v>46112</v>
      </c>
      <c r="K2" s="20">
        <v>46142</v>
      </c>
      <c r="L2" s="20">
        <v>46173</v>
      </c>
    </row>
    <row r="3" spans="2:12">
      <c r="B3" s="10" t="s">
        <v>21</v>
      </c>
      <c r="C3" s="11"/>
      <c r="D3" s="10">
        <v>2025</v>
      </c>
      <c r="E3" s="10">
        <v>2025</v>
      </c>
      <c r="F3" s="10">
        <v>2025</v>
      </c>
      <c r="G3" s="10">
        <v>2025</v>
      </c>
      <c r="H3" s="10">
        <v>2026</v>
      </c>
      <c r="I3" s="10">
        <v>2026</v>
      </c>
      <c r="J3" s="10">
        <v>2026</v>
      </c>
      <c r="K3" s="10">
        <v>2026</v>
      </c>
      <c r="L3" s="10">
        <v>2026</v>
      </c>
    </row>
    <row r="4" spans="2:12">
      <c r="B4" s="10" t="s">
        <v>347</v>
      </c>
      <c r="C4" s="11"/>
      <c r="D4" s="10">
        <v>2</v>
      </c>
      <c r="E4" s="10">
        <v>2</v>
      </c>
      <c r="F4" s="10">
        <v>2</v>
      </c>
      <c r="G4" s="10">
        <v>2</v>
      </c>
      <c r="H4" s="10">
        <v>3</v>
      </c>
      <c r="I4" s="10">
        <v>3</v>
      </c>
      <c r="J4" s="10">
        <v>3</v>
      </c>
      <c r="K4" s="10">
        <v>3</v>
      </c>
      <c r="L4" s="10">
        <v>3</v>
      </c>
    </row>
    <row r="5" spans="2:12">
      <c r="B5" s="9"/>
      <c r="C5" s="37" t="s">
        <v>29</v>
      </c>
      <c r="D5" s="9"/>
      <c r="E5" s="9"/>
      <c r="F5" s="9"/>
      <c r="G5" s="9"/>
      <c r="H5" s="9"/>
      <c r="I5" s="9"/>
      <c r="J5" s="9"/>
      <c r="K5" s="9"/>
      <c r="L5" s="9"/>
    </row>
    <row r="6" spans="2:12">
      <c r="B6" s="41"/>
      <c r="C6" s="42"/>
      <c r="D6" s="38"/>
      <c r="E6" s="38"/>
      <c r="F6" s="38"/>
      <c r="G6" s="38"/>
      <c r="H6" s="38"/>
      <c r="I6" s="38"/>
      <c r="J6" s="38"/>
      <c r="K6" s="38"/>
      <c r="L6" s="38"/>
    </row>
    <row r="7" spans="2:12">
      <c r="B7" s="9"/>
      <c r="C7" s="48"/>
      <c r="D7" s="9"/>
      <c r="E7" s="9"/>
      <c r="F7" s="9"/>
      <c r="G7" s="9"/>
      <c r="H7" s="9"/>
      <c r="I7" s="9"/>
      <c r="J7" s="9"/>
      <c r="K7" s="9"/>
      <c r="L7" s="9"/>
    </row>
    <row r="8" spans="2:12">
      <c r="B8" s="50" t="s">
        <v>35</v>
      </c>
      <c r="C8" s="51"/>
      <c r="D8" s="52"/>
      <c r="E8" s="52"/>
      <c r="F8" s="52"/>
      <c r="G8" s="52"/>
      <c r="H8" s="52"/>
      <c r="I8" s="52"/>
      <c r="J8" s="52"/>
      <c r="K8" s="52"/>
      <c r="L8" s="52"/>
    </row>
    <row r="9" spans="2:12">
      <c r="B9" s="57" t="s">
        <v>207</v>
      </c>
      <c r="C9" s="58">
        <v>-39250</v>
      </c>
      <c r="D9" s="59">
        <v>0</v>
      </c>
      <c r="E9" s="59">
        <v>-39250</v>
      </c>
      <c r="F9" s="59">
        <v>0</v>
      </c>
      <c r="G9" s="59">
        <v>0</v>
      </c>
      <c r="H9" s="59">
        <v>0</v>
      </c>
      <c r="I9" s="59">
        <v>0</v>
      </c>
      <c r="J9" s="59">
        <v>0</v>
      </c>
      <c r="K9" s="59">
        <v>0</v>
      </c>
      <c r="L9" s="59">
        <v>0</v>
      </c>
    </row>
    <row r="10" spans="2:12">
      <c r="B10" s="62" t="s">
        <v>211</v>
      </c>
      <c r="C10" s="63">
        <v>-822796</v>
      </c>
      <c r="D10" s="64">
        <v>0</v>
      </c>
      <c r="E10" s="64">
        <v>-822796</v>
      </c>
      <c r="F10" s="64">
        <v>0</v>
      </c>
      <c r="G10" s="64">
        <v>0</v>
      </c>
      <c r="H10" s="64">
        <v>0</v>
      </c>
      <c r="I10" s="64">
        <v>0</v>
      </c>
      <c r="J10" s="64">
        <v>0</v>
      </c>
      <c r="K10" s="64">
        <v>0</v>
      </c>
      <c r="L10" s="64">
        <v>0</v>
      </c>
    </row>
    <row r="11" spans="2:12">
      <c r="B11" s="68" t="s">
        <v>46</v>
      </c>
      <c r="C11" s="69">
        <v>-862046</v>
      </c>
      <c r="D11" s="70">
        <v>0</v>
      </c>
      <c r="E11" s="70">
        <v>-862046</v>
      </c>
      <c r="F11" s="70">
        <v>0</v>
      </c>
      <c r="G11" s="70">
        <v>0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</row>
    <row r="12" spans="2:12">
      <c r="B12" s="9"/>
      <c r="C12" s="58"/>
      <c r="D12" s="59"/>
      <c r="E12" s="59"/>
      <c r="F12" s="59"/>
      <c r="G12" s="59"/>
      <c r="H12" s="59"/>
      <c r="I12" s="59"/>
      <c r="J12" s="59"/>
      <c r="K12" s="59"/>
      <c r="L12" s="59"/>
    </row>
    <row r="13" spans="2:12">
      <c r="B13" s="9" t="s">
        <v>54</v>
      </c>
      <c r="C13" s="58">
        <v>-1600</v>
      </c>
      <c r="D13" s="59">
        <v>0</v>
      </c>
      <c r="E13" s="59">
        <v>-200</v>
      </c>
      <c r="F13" s="59">
        <v>-200</v>
      </c>
      <c r="G13" s="59">
        <v>-200</v>
      </c>
      <c r="H13" s="59">
        <v>-200</v>
      </c>
      <c r="I13" s="59">
        <v>-200</v>
      </c>
      <c r="J13" s="59">
        <v>-200</v>
      </c>
      <c r="K13" s="59">
        <v>-200</v>
      </c>
      <c r="L13" s="59">
        <v>-200</v>
      </c>
    </row>
    <row r="14" spans="2:12">
      <c r="B14" s="9" t="s">
        <v>57</v>
      </c>
      <c r="C14" s="58">
        <v>-633.33333333333337</v>
      </c>
      <c r="D14" s="59">
        <v>0</v>
      </c>
      <c r="E14" s="59">
        <v>-79.166666666666671</v>
      </c>
      <c r="F14" s="59">
        <v>-79.166666666666671</v>
      </c>
      <c r="G14" s="59">
        <v>-79.166666666666671</v>
      </c>
      <c r="H14" s="59">
        <v>-79.166666666666671</v>
      </c>
      <c r="I14" s="59">
        <v>-79.166666666666671</v>
      </c>
      <c r="J14" s="59">
        <v>-79.166666666666671</v>
      </c>
      <c r="K14" s="59">
        <v>-79.166666666666671</v>
      </c>
      <c r="L14" s="59">
        <v>-79.166666666666671</v>
      </c>
    </row>
    <row r="15" spans="2:12">
      <c r="B15" s="9" t="s">
        <v>60</v>
      </c>
      <c r="C15" s="58">
        <v>-500</v>
      </c>
      <c r="D15" s="59">
        <v>0</v>
      </c>
      <c r="E15" s="59">
        <v>-500</v>
      </c>
      <c r="F15" s="59">
        <v>0</v>
      </c>
      <c r="G15" s="59">
        <v>0</v>
      </c>
      <c r="H15" s="59">
        <v>0</v>
      </c>
      <c r="I15" s="59">
        <v>0</v>
      </c>
      <c r="J15" s="59">
        <v>0</v>
      </c>
      <c r="K15" s="59">
        <v>0</v>
      </c>
      <c r="L15" s="59">
        <v>0</v>
      </c>
    </row>
    <row r="16" spans="2:12">
      <c r="B16" s="86" t="s">
        <v>62</v>
      </c>
      <c r="C16" s="88">
        <v>-2733.3333333333335</v>
      </c>
      <c r="D16" s="89">
        <v>0</v>
      </c>
      <c r="E16" s="89">
        <v>-779.16666666666674</v>
      </c>
      <c r="F16" s="89">
        <v>-279.16666666666669</v>
      </c>
      <c r="G16" s="89">
        <v>-279.16666666666669</v>
      </c>
      <c r="H16" s="89">
        <v>-279.16666666666669</v>
      </c>
      <c r="I16" s="89">
        <v>-279.16666666666669</v>
      </c>
      <c r="J16" s="89">
        <v>-279.16666666666669</v>
      </c>
      <c r="K16" s="89">
        <v>-279.16666666666669</v>
      </c>
      <c r="L16" s="89">
        <v>-279.16666666666669</v>
      </c>
    </row>
    <row r="17" spans="2:12">
      <c r="B17" s="9"/>
      <c r="C17" s="58"/>
      <c r="D17" s="59"/>
      <c r="E17" s="59"/>
      <c r="F17" s="59"/>
      <c r="G17" s="59"/>
      <c r="H17" s="59"/>
      <c r="I17" s="59"/>
      <c r="J17" s="59"/>
      <c r="K17" s="59"/>
      <c r="L17" s="59"/>
    </row>
    <row r="18" spans="2:12">
      <c r="B18" s="57" t="s">
        <v>213</v>
      </c>
      <c r="C18" s="58">
        <v>-993</v>
      </c>
      <c r="D18" s="59">
        <v>0</v>
      </c>
      <c r="E18" s="59">
        <v>-993</v>
      </c>
      <c r="F18" s="59">
        <v>0</v>
      </c>
      <c r="G18" s="59">
        <v>0</v>
      </c>
      <c r="H18" s="59">
        <v>0</v>
      </c>
      <c r="I18" s="59">
        <v>0</v>
      </c>
      <c r="J18" s="59">
        <v>0</v>
      </c>
      <c r="K18" s="59">
        <v>0</v>
      </c>
      <c r="L18" s="59">
        <v>0</v>
      </c>
    </row>
    <row r="19" spans="2:12">
      <c r="B19" s="57" t="s">
        <v>69</v>
      </c>
      <c r="C19" s="58">
        <v>-1815</v>
      </c>
      <c r="D19" s="59">
        <v>0</v>
      </c>
      <c r="E19" s="59">
        <v>0</v>
      </c>
      <c r="F19" s="59">
        <v>-1815</v>
      </c>
      <c r="G19" s="59">
        <v>0</v>
      </c>
      <c r="H19" s="59">
        <v>0</v>
      </c>
      <c r="I19" s="59">
        <v>0</v>
      </c>
      <c r="J19" s="59">
        <v>0</v>
      </c>
      <c r="K19" s="59">
        <v>0</v>
      </c>
      <c r="L19" s="59">
        <v>0</v>
      </c>
    </row>
    <row r="20" spans="2:12">
      <c r="B20" s="57" t="s">
        <v>72</v>
      </c>
      <c r="C20" s="58">
        <v>-165500</v>
      </c>
      <c r="D20" s="59">
        <v>0</v>
      </c>
      <c r="E20" s="59">
        <v>0</v>
      </c>
      <c r="F20" s="59">
        <v>-24825</v>
      </c>
      <c r="G20" s="59">
        <v>-62062.5</v>
      </c>
      <c r="H20" s="59">
        <v>-62062.5</v>
      </c>
      <c r="I20" s="59">
        <v>-16550</v>
      </c>
      <c r="J20" s="59">
        <v>0</v>
      </c>
      <c r="K20" s="59">
        <v>0</v>
      </c>
      <c r="L20" s="59">
        <v>0</v>
      </c>
    </row>
    <row r="21" spans="2:12">
      <c r="B21" s="57" t="s">
        <v>74</v>
      </c>
      <c r="C21" s="58">
        <v>0</v>
      </c>
      <c r="D21" s="59"/>
      <c r="E21" s="59"/>
      <c r="F21" s="59"/>
      <c r="G21" s="59"/>
      <c r="H21" s="59"/>
      <c r="I21" s="59"/>
      <c r="J21" s="59"/>
      <c r="K21" s="59"/>
      <c r="L21" s="59"/>
    </row>
    <row r="22" spans="2:12">
      <c r="B22" s="57" t="s">
        <v>76</v>
      </c>
      <c r="C22" s="58">
        <v>-15360</v>
      </c>
      <c r="D22" s="59">
        <v>0</v>
      </c>
      <c r="E22" s="59">
        <v>0</v>
      </c>
      <c r="F22" s="59">
        <v>0</v>
      </c>
      <c r="G22" s="59">
        <v>0</v>
      </c>
      <c r="H22" s="59">
        <v>-7680</v>
      </c>
      <c r="I22" s="59">
        <v>-7680</v>
      </c>
      <c r="J22" s="59">
        <v>0</v>
      </c>
      <c r="K22" s="59">
        <v>0</v>
      </c>
      <c r="L22" s="59">
        <v>0</v>
      </c>
    </row>
    <row r="23" spans="2:12">
      <c r="B23" s="62" t="s">
        <v>148</v>
      </c>
      <c r="C23" s="58">
        <v>0</v>
      </c>
      <c r="D23" s="64">
        <v>0</v>
      </c>
      <c r="E23" s="64">
        <v>0</v>
      </c>
      <c r="F23" s="64">
        <v>0</v>
      </c>
      <c r="G23" s="64">
        <v>0</v>
      </c>
      <c r="H23" s="64">
        <v>0</v>
      </c>
      <c r="I23" s="64">
        <v>0</v>
      </c>
      <c r="J23" s="64">
        <v>0</v>
      </c>
      <c r="K23" s="64">
        <v>0</v>
      </c>
      <c r="L23" s="64">
        <v>0</v>
      </c>
    </row>
    <row r="24" spans="2:12">
      <c r="B24" s="102" t="s">
        <v>150</v>
      </c>
      <c r="C24" s="88">
        <v>-183668</v>
      </c>
      <c r="D24" s="89">
        <v>0</v>
      </c>
      <c r="E24" s="89">
        <v>-993</v>
      </c>
      <c r="F24" s="89">
        <v>-26640</v>
      </c>
      <c r="G24" s="89">
        <v>-62062.5</v>
      </c>
      <c r="H24" s="89">
        <v>-69742.5</v>
      </c>
      <c r="I24" s="89">
        <v>-24230</v>
      </c>
      <c r="J24" s="89">
        <v>0</v>
      </c>
      <c r="K24" s="89">
        <v>0</v>
      </c>
      <c r="L24" s="89">
        <v>0</v>
      </c>
    </row>
    <row r="25" spans="2:12">
      <c r="B25" s="9"/>
      <c r="C25" s="48"/>
      <c r="D25" s="9"/>
      <c r="E25" s="9"/>
      <c r="F25" s="9"/>
      <c r="G25" s="9"/>
      <c r="H25" s="9"/>
      <c r="I25" s="9"/>
      <c r="J25" s="9"/>
      <c r="K25" s="9"/>
      <c r="L25" s="9"/>
    </row>
    <row r="26" spans="2:12">
      <c r="B26" s="86" t="s">
        <v>92</v>
      </c>
      <c r="C26" s="88">
        <v>0</v>
      </c>
      <c r="D26" s="89">
        <v>0</v>
      </c>
      <c r="E26" s="89">
        <v>0</v>
      </c>
      <c r="F26" s="89">
        <v>0</v>
      </c>
      <c r="G26" s="89">
        <v>0</v>
      </c>
      <c r="H26" s="89">
        <v>0</v>
      </c>
      <c r="I26" s="89">
        <v>0</v>
      </c>
      <c r="J26" s="89">
        <v>0</v>
      </c>
      <c r="K26" s="89">
        <v>0</v>
      </c>
      <c r="L26" s="89">
        <v>0</v>
      </c>
    </row>
    <row r="27" spans="2:12">
      <c r="B27" s="9"/>
      <c r="C27" s="58"/>
      <c r="D27" s="59"/>
      <c r="E27" s="59"/>
      <c r="F27" s="59"/>
      <c r="G27" s="59"/>
      <c r="H27" s="59"/>
      <c r="I27" s="59"/>
      <c r="J27" s="59"/>
      <c r="K27" s="59"/>
      <c r="L27" s="59"/>
    </row>
    <row r="28" spans="2:12">
      <c r="B28" s="86" t="s">
        <v>95</v>
      </c>
      <c r="C28" s="88">
        <v>-1048447.333333333</v>
      </c>
      <c r="D28" s="89">
        <v>0</v>
      </c>
      <c r="E28" s="89">
        <v>-863818.16666666663</v>
      </c>
      <c r="F28" s="89">
        <v>-26919.166666666668</v>
      </c>
      <c r="G28" s="89">
        <v>-62341.666666666664</v>
      </c>
      <c r="H28" s="89">
        <v>-70021.666666666672</v>
      </c>
      <c r="I28" s="89">
        <v>-24509.166666666668</v>
      </c>
      <c r="J28" s="89">
        <v>-279.16666666666669</v>
      </c>
      <c r="K28" s="89">
        <v>-279.16666666666669</v>
      </c>
      <c r="L28" s="89">
        <v>-279.16666666666669</v>
      </c>
    </row>
    <row r="29" spans="2:12">
      <c r="B29" s="9"/>
      <c r="C29" s="58"/>
      <c r="D29" s="59"/>
      <c r="E29" s="59"/>
      <c r="F29" s="59"/>
      <c r="G29" s="59"/>
      <c r="H29" s="59"/>
      <c r="I29" s="59"/>
      <c r="J29" s="59"/>
      <c r="K29" s="59"/>
      <c r="L29" s="59"/>
    </row>
    <row r="30" spans="2:12">
      <c r="B30" s="50" t="s">
        <v>2</v>
      </c>
      <c r="C30" s="109"/>
      <c r="D30" s="110"/>
      <c r="E30" s="110"/>
      <c r="F30" s="110"/>
      <c r="G30" s="110"/>
      <c r="H30" s="110"/>
      <c r="I30" s="110"/>
      <c r="J30" s="110"/>
      <c r="K30" s="110"/>
      <c r="L30" s="110"/>
    </row>
    <row r="31" spans="2:12">
      <c r="B31" s="9"/>
      <c r="C31" s="58"/>
      <c r="D31" s="59"/>
      <c r="E31" s="59"/>
      <c r="F31" s="59"/>
      <c r="G31" s="59"/>
      <c r="H31" s="59"/>
      <c r="I31" s="59"/>
      <c r="J31" s="59"/>
      <c r="K31" s="59"/>
      <c r="L31" s="59"/>
    </row>
    <row r="32" spans="2:12">
      <c r="B32" s="9" t="s">
        <v>107</v>
      </c>
      <c r="C32" s="58">
        <v>-1600</v>
      </c>
      <c r="D32" s="59">
        <v>0</v>
      </c>
      <c r="E32" s="59">
        <v>-200</v>
      </c>
      <c r="F32" s="59">
        <v>-200</v>
      </c>
      <c r="G32" s="59">
        <v>-200</v>
      </c>
      <c r="H32" s="59">
        <v>-200</v>
      </c>
      <c r="I32" s="59">
        <v>-200</v>
      </c>
      <c r="J32" s="59">
        <v>-200</v>
      </c>
      <c r="K32" s="59">
        <v>-200</v>
      </c>
      <c r="L32" s="59">
        <v>-200</v>
      </c>
    </row>
    <row r="33" spans="2:12">
      <c r="B33" s="9" t="s">
        <v>109</v>
      </c>
      <c r="C33" s="58">
        <v>0</v>
      </c>
      <c r="D33" s="59">
        <v>0</v>
      </c>
      <c r="E33" s="59">
        <v>0</v>
      </c>
      <c r="F33" s="59">
        <v>0</v>
      </c>
      <c r="G33" s="59">
        <v>0</v>
      </c>
      <c r="H33" s="59">
        <v>0</v>
      </c>
      <c r="I33" s="59">
        <v>0</v>
      </c>
      <c r="J33" s="59">
        <v>0</v>
      </c>
      <c r="K33" s="59">
        <v>0</v>
      </c>
      <c r="L33" s="59">
        <v>0</v>
      </c>
    </row>
    <row r="34" spans="2:12">
      <c r="B34" s="86" t="s">
        <v>112</v>
      </c>
      <c r="C34" s="88">
        <v>-1600</v>
      </c>
      <c r="D34" s="89">
        <v>0</v>
      </c>
      <c r="E34" s="89">
        <v>-200</v>
      </c>
      <c r="F34" s="89">
        <v>-200</v>
      </c>
      <c r="G34" s="89">
        <v>-200</v>
      </c>
      <c r="H34" s="89">
        <v>-200</v>
      </c>
      <c r="I34" s="89">
        <v>-200</v>
      </c>
      <c r="J34" s="89">
        <v>-200</v>
      </c>
      <c r="K34" s="89">
        <v>-200</v>
      </c>
      <c r="L34" s="89">
        <v>-200</v>
      </c>
    </row>
    <row r="35" spans="2:12">
      <c r="B35" s="9"/>
      <c r="C35" s="58"/>
      <c r="D35" s="59"/>
      <c r="E35" s="59"/>
      <c r="F35" s="59"/>
      <c r="G35" s="59"/>
      <c r="H35" s="59"/>
      <c r="I35" s="59"/>
      <c r="J35" s="59"/>
      <c r="K35" s="59"/>
      <c r="L35" s="59"/>
    </row>
    <row r="36" spans="2:12">
      <c r="B36" s="126" t="s">
        <v>116</v>
      </c>
      <c r="C36" s="127">
        <v>-1050047.3333333335</v>
      </c>
      <c r="D36" s="128">
        <v>0</v>
      </c>
      <c r="E36" s="128">
        <v>-864018.16666666663</v>
      </c>
      <c r="F36" s="128">
        <v>-27119.166666666668</v>
      </c>
      <c r="G36" s="128">
        <v>-62541.666666666664</v>
      </c>
      <c r="H36" s="128">
        <v>-70221.666666666672</v>
      </c>
      <c r="I36" s="128">
        <v>-24709.166666666668</v>
      </c>
      <c r="J36" s="128">
        <v>-479.16666666666669</v>
      </c>
      <c r="K36" s="128">
        <v>-479.16666666666669</v>
      </c>
      <c r="L36" s="128">
        <v>-479.16666666666669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 VS Real Marcenado (2)</vt:lpstr>
      <vt:lpstr>Marcenado</vt:lpstr>
      <vt:lpstr>Planing desembolsos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Anich Hazbun</dc:creator>
  <cp:lastModifiedBy>Mario Meza</cp:lastModifiedBy>
  <dcterms:created xsi:type="dcterms:W3CDTF">2026-10-26T19:51:17Z</dcterms:created>
  <dcterms:modified xsi:type="dcterms:W3CDTF">2026-10-26T20:10:13Z</dcterms:modified>
</cp:coreProperties>
</file>